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13/"/>
    </mc:Choice>
  </mc:AlternateContent>
  <xr:revisionPtr revIDLastSave="0" documentId="13_ncr:1_{174FB556-8CF4-DA47-910F-8869B31698CB}" xr6:coauthVersionLast="47" xr6:coauthVersionMax="47" xr10:uidLastSave="{00000000-0000-0000-0000-000000000000}"/>
  <bookViews>
    <workbookView xWindow="29400" yWindow="0" windowWidth="38400" windowHeight="21600" activeTab="2" xr2:uid="{DD5D0FE7-E9CC-B24C-BFBD-EDB3BB5025A1}"/>
  </bookViews>
  <sheets>
    <sheet name="Recap" sheetId="1" r:id="rId1"/>
    <sheet name="Agenda" sheetId="2" r:id="rId2"/>
    <sheet name="ran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3" l="1"/>
  <c r="H38" i="3"/>
  <c r="H36" i="3"/>
  <c r="I57" i="3" a="1"/>
  <c r="I57" i="3" s="1"/>
  <c r="M41" i="3" a="1"/>
  <c r="M41" i="3" s="1"/>
  <c r="N37" i="3"/>
  <c r="N38" i="3"/>
  <c r="N36" i="3"/>
  <c r="M36" i="3" a="1"/>
  <c r="M36" i="3" s="1"/>
  <c r="K5" i="3" a="1"/>
  <c r="K5" i="3" s="1"/>
  <c r="G5" i="3" a="1"/>
  <c r="G5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<sst xmlns="http://schemas.openxmlformats.org/spreadsheetml/2006/main" count="120" uniqueCount="73">
  <si>
    <t>🌟 Look how far you've come! From zero SQL to subqueries &amp; CTEs - You're SQL Warriors now!</t>
  </si>
  <si>
    <t>📅 Day 1: Introduction to SQL &amp; Installation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</si>
  <si>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SQL fundamentals - What, Why, When to use SQL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</si>
  <si>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SQL components: DDL, DML, DCL, TCL, DQL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</si>
  <si>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Installed PostgreSQL 16, pgAdmin 4, VS Code with extensions</t>
    </r>
  </si>
  <si>
    <t>📅 Day 2: Basic Queries &amp; DDL Commands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</si>
  <si>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Created RetailMart database with 8 schemas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</si>
  <si>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CREATE DATABASE, CREATE SCHEMA, CREATE TABLE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</si>
  <si>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DROP, ALTER commands and imported CSV data</t>
    </r>
  </si>
  <si>
    <t>📅 Day 3: PostgreSQL Data Types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</si>
  <si>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Numeric types (INT, DECIMAL, SERIAL), Text types (CHAR, VARCHAR, TEXT)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</si>
  <si>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Explored Date/Time types (DATE, TIMESTAMP, INTERVAL), Boolean, JSON, UUID, ARRAY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</si>
  <si>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when to use which data type for optimal storage</t>
    </r>
  </si>
  <si>
    <t>📅 Day 4: Constraints &amp; Keys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</si>
  <si>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constraints: NOT NULL, UNIQUE, CHECK, DEFAULT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</si>
  <si>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Created PRIMARY KEY (single &amp; composite), FOREIGN KEY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</si>
  <si>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cascading actions: CASCADE, RESTRICT, SET NULL</t>
    </r>
  </si>
  <si>
    <t>📅 Day 5: Data Filtering &amp; Sorting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</si>
  <si>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SELECT, WHERE, logical operators (AND, OR, NOT)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</si>
  <si>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Used pattern matching (LIKE, ILIKE), BETWEEN, IN, IS NULL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</si>
  <si>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DISTINCT, ORDER BY (ASC/DESC), LIMIT, OFFSET</t>
    </r>
  </si>
  <si>
    <t>📅 Day 6: Aggregate Functions &amp; Grouping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</si>
  <si>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COUNT, SUM, AVG, MIN, MAX, STRING_AGG, ARRAY_AGG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</si>
  <si>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GROUP BY (single &amp; multiple columns)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</si>
  <si>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Used HAVING clause for filtering aggregated data</t>
    </r>
  </si>
  <si>
    <t>📅 Day 7: Conditional Logic &amp; Derived Columns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</si>
  <si>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CASE WHEN (simple &amp; searched), nested CASE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</si>
  <si>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Used COALESCE for NULL handling, NULLIF to avoid division by zero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</si>
  <si>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Created derived columns and applied column aliases</t>
    </r>
  </si>
  <si>
    <t>📅 Day 8: Joins - Part 1 (Foundations)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</si>
  <si>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JOIN fundamentals - combining tables logically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</si>
  <si>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INNER JOIN, LEFT JOIN, RIGHT JOIN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</si>
  <si>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multi-table joins and table aliases</t>
    </r>
  </si>
  <si>
    <t>📅 Day 9: Joins - Part 2 (Advanced)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</si>
  <si>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FULL OUTER JOIN for complete data matching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</si>
  <si>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join order &amp; performance implications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</si>
  <si>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Used EXPLAIN to analyze join performance</t>
    </r>
  </si>
  <si>
    <t>📅 Day 10: Self Join, Cross Join &amp; Set Operations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</si>
  <si>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Self Joins for hierarchical data (employee-manager)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</si>
  <si>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CROSS JOIN (Cartesian product)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</si>
  <si>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UNION, UNION ALL, INTERSECT, EXCEPT</t>
    </r>
  </si>
  <si>
    <t>📅 Day 11: Subqueries - Part 1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</si>
  <si>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scalar subqueries (single value) &amp; multi-row subqueries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</si>
  <si>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Used subqueries in WHERE, SELECT, FROM clauses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</si>
  <si>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IN, NOT IN, EXISTS, NOT EXISTS operators</t>
    </r>
  </si>
  <si>
    <t>📅 Day 12: Subqueries - Part 2 &amp; CTEs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</si>
  <si>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correlated subqueries &amp; ANY, SOME, ALL operators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</si>
  <si>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Common Table Expressions (CTEs) with WITH clause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</si>
  <si>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Built recursive CTEs for hierarchical queries (org charts, trees)</t>
    </r>
  </si>
  <si>
    <t>🚀 Today (Day 13): We're ready to learn WINDOW FUNCTIONS - The most powerful analytical tool in SQL! Unlike aggregate functions that collapse rows, window functions let you calculate across rows while keeping ALL your data visible! 🏆</t>
  </si>
  <si>
    <t>Students</t>
  </si>
  <si>
    <t>stud_id</t>
  </si>
  <si>
    <t>subject</t>
  </si>
  <si>
    <t>marks</t>
  </si>
  <si>
    <t>Maths</t>
  </si>
  <si>
    <t>Science</t>
  </si>
  <si>
    <t>English</t>
  </si>
  <si>
    <t>Hindi</t>
  </si>
  <si>
    <t>Whats the highest score and in which subject</t>
  </si>
  <si>
    <t>Select max(marks) from table</t>
  </si>
  <si>
    <t>Select * from table order by marks desc limit 1</t>
  </si>
  <si>
    <t>What's the highest score in each subject</t>
  </si>
  <si>
    <t>Select subject,max(marks) from table group by subject</t>
  </si>
  <si>
    <t>What's the second highest score in each subject</t>
  </si>
  <si>
    <t>What is the avg score for each student</t>
  </si>
  <si>
    <t>Select stud_id,avg(marks) from table group by stud_id</t>
  </si>
  <si>
    <t>avg_marks</t>
  </si>
  <si>
    <t>rnk</t>
  </si>
  <si>
    <t>Select * from table order by subject,marks desc where rnk=2</t>
  </si>
  <si>
    <t>Group By vs Partition By</t>
  </si>
  <si>
    <t>row_number()</t>
  </si>
  <si>
    <t>rank()</t>
  </si>
  <si>
    <t>dense_rank()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</si>
</sst>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theme="1"/>
      <name val="Arial"/>
      <family val="2"/>
    </font>
    <font>
      <i/>
      <sz val="12"/>
      <color rgb="FF1565C0"/>
      <name val="Arial"/>
      <family val="2"/>
    </font>
    <font>
      <b/>
      <sz val="12"/>
      <color rgb="FF1E3A5F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indent="6"/>
    </xf>
    <xf numFmtId="0" fontId="2" fillId="3" borderId="0" xfId="2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0" fillId="4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226434</xdr:colOff>
      <xdr:row>1</xdr:row>
      <xdr:rowOff>14768</xdr:rowOff>
    </xdr:from>
    <xdr:to>
      <xdr:col>10</xdr:col>
      <xdr:colOff>569333</xdr:colOff>
      <xdr:row>20</xdr:row>
      <xdr:rowOff>98344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7A0FD-B7F2-2A8F-5322-6BEA1BA19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868" y="216590"/>
          <a:ext cx="7785690" cy="3918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8390-E3A2-514B-8BE5-7965A53E10FC}">
  <dimension ref="B2:J70"/>
  <sheetViews>
    <sheetView topLeftCell="A56" zoomScale="277" workbookViewId="0">
      <selection activeCell="A64" sqref="A64"/>
    </sheetView>
  </sheetViews>
  <sheetFormatPr baseColWidth="10" defaultRowHeight="16" x14ac:dyDescent="0.2"/>
  <sheetData>
    <row r="2" spans="2:2" x14ac:dyDescent="0.2">
      <c r="B2" s="1" t="s">
        <v>0</v>
      </c>
    </row>
    <row r="3" spans="2:2" x14ac:dyDescent="0.2">
      <c r="B3" s="1"/>
    </row>
    <row r="4" spans="2:2" x14ac:dyDescent="0.2">
      <c r="B4" s="2" t="s">
        <v>1</v>
      </c>
    </row>
    <row r="5" spans="2:2" x14ac:dyDescent="0.2">
      <c r="B5" s="3" t="s">
        <v>2</v>
      </c>
    </row>
    <row r="6" spans="2:2" x14ac:dyDescent="0.2">
      <c r="B6" s="3" t="s">
        <v>3</v>
      </c>
    </row>
    <row r="7" spans="2:2" x14ac:dyDescent="0.2">
      <c r="B7" s="3" t="s">
        <v>4</v>
      </c>
    </row>
    <row r="8" spans="2:2" x14ac:dyDescent="0.2">
      <c r="B8" s="3"/>
    </row>
    <row r="9" spans="2:2" x14ac:dyDescent="0.2">
      <c r="B9" s="2" t="s">
        <v>5</v>
      </c>
    </row>
    <row r="10" spans="2:2" x14ac:dyDescent="0.2">
      <c r="B10" s="3" t="s">
        <v>6</v>
      </c>
    </row>
    <row r="11" spans="2:2" x14ac:dyDescent="0.2">
      <c r="B11" s="3" t="s">
        <v>7</v>
      </c>
    </row>
    <row r="12" spans="2:2" x14ac:dyDescent="0.2">
      <c r="B12" s="3" t="s">
        <v>8</v>
      </c>
    </row>
    <row r="13" spans="2:2" x14ac:dyDescent="0.2">
      <c r="B13" s="3"/>
    </row>
    <row r="14" spans="2:2" x14ac:dyDescent="0.2">
      <c r="B14" s="2" t="s">
        <v>9</v>
      </c>
    </row>
    <row r="15" spans="2:2" x14ac:dyDescent="0.2">
      <c r="B15" s="3" t="s">
        <v>10</v>
      </c>
    </row>
    <row r="16" spans="2:2" x14ac:dyDescent="0.2">
      <c r="B16" s="3" t="s">
        <v>11</v>
      </c>
    </row>
    <row r="17" spans="2:2" x14ac:dyDescent="0.2">
      <c r="B17" s="3" t="s">
        <v>12</v>
      </c>
    </row>
    <row r="18" spans="2:2" x14ac:dyDescent="0.2">
      <c r="B18" s="3"/>
    </row>
    <row r="19" spans="2:2" x14ac:dyDescent="0.2">
      <c r="B19" s="2" t="s">
        <v>13</v>
      </c>
    </row>
    <row r="20" spans="2:2" x14ac:dyDescent="0.2">
      <c r="B20" s="3" t="s">
        <v>14</v>
      </c>
    </row>
    <row r="21" spans="2:2" x14ac:dyDescent="0.2">
      <c r="B21" s="3" t="s">
        <v>15</v>
      </c>
    </row>
    <row r="22" spans="2:2" x14ac:dyDescent="0.2">
      <c r="B22" s="3" t="s">
        <v>16</v>
      </c>
    </row>
    <row r="23" spans="2:2" x14ac:dyDescent="0.2">
      <c r="B23" s="3"/>
    </row>
    <row r="24" spans="2:2" x14ac:dyDescent="0.2">
      <c r="B24" s="2" t="s">
        <v>17</v>
      </c>
    </row>
    <row r="25" spans="2:2" x14ac:dyDescent="0.2">
      <c r="B25" s="3" t="s">
        <v>18</v>
      </c>
    </row>
    <row r="26" spans="2:2" x14ac:dyDescent="0.2">
      <c r="B26" s="3" t="s">
        <v>19</v>
      </c>
    </row>
    <row r="27" spans="2:2" x14ac:dyDescent="0.2">
      <c r="B27" s="3" t="s">
        <v>20</v>
      </c>
    </row>
    <row r="28" spans="2:2" x14ac:dyDescent="0.2">
      <c r="B28" s="3"/>
    </row>
    <row r="29" spans="2:2" x14ac:dyDescent="0.2">
      <c r="B29" s="2" t="s">
        <v>21</v>
      </c>
    </row>
    <row r="30" spans="2:2" x14ac:dyDescent="0.2">
      <c r="B30" s="3" t="s">
        <v>22</v>
      </c>
    </row>
    <row r="31" spans="2:2" x14ac:dyDescent="0.2">
      <c r="B31" s="3" t="s">
        <v>23</v>
      </c>
    </row>
    <row r="32" spans="2:2" x14ac:dyDescent="0.2">
      <c r="B32" s="3" t="s">
        <v>24</v>
      </c>
    </row>
    <row r="33" spans="2:2" x14ac:dyDescent="0.2">
      <c r="B33" s="3"/>
    </row>
    <row r="34" spans="2:2" x14ac:dyDescent="0.2">
      <c r="B34" s="2" t="s">
        <v>25</v>
      </c>
    </row>
    <row r="35" spans="2:2" x14ac:dyDescent="0.2">
      <c r="B35" s="3" t="s">
        <v>26</v>
      </c>
    </row>
    <row r="36" spans="2:2" x14ac:dyDescent="0.2">
      <c r="B36" s="3" t="s">
        <v>27</v>
      </c>
    </row>
    <row r="37" spans="2:2" x14ac:dyDescent="0.2">
      <c r="B37" s="3" t="s">
        <v>28</v>
      </c>
    </row>
    <row r="38" spans="2:2" x14ac:dyDescent="0.2">
      <c r="B38" s="3"/>
    </row>
    <row r="39" spans="2:2" x14ac:dyDescent="0.2">
      <c r="B39" s="2" t="s">
        <v>29</v>
      </c>
    </row>
    <row r="40" spans="2:2" x14ac:dyDescent="0.2">
      <c r="B40" s="3" t="s">
        <v>30</v>
      </c>
    </row>
    <row r="41" spans="2:2" x14ac:dyDescent="0.2">
      <c r="B41" s="3" t="s">
        <v>31</v>
      </c>
    </row>
    <row r="42" spans="2:2" x14ac:dyDescent="0.2">
      <c r="B42" s="3" t="s">
        <v>32</v>
      </c>
    </row>
    <row r="43" spans="2:2" x14ac:dyDescent="0.2">
      <c r="B43" s="3"/>
    </row>
    <row r="44" spans="2:2" x14ac:dyDescent="0.2">
      <c r="B44" s="2" t="s">
        <v>33</v>
      </c>
    </row>
    <row r="45" spans="2:2" x14ac:dyDescent="0.2">
      <c r="B45" s="3" t="s">
        <v>34</v>
      </c>
    </row>
    <row r="46" spans="2:2" x14ac:dyDescent="0.2">
      <c r="B46" s="3" t="s">
        <v>35</v>
      </c>
    </row>
    <row r="47" spans="2:2" x14ac:dyDescent="0.2">
      <c r="B47" s="3" t="s">
        <v>36</v>
      </c>
    </row>
    <row r="48" spans="2:2" x14ac:dyDescent="0.2">
      <c r="B48" s="3"/>
    </row>
    <row r="49" spans="2:10" x14ac:dyDescent="0.2">
      <c r="B49" s="2" t="s">
        <v>37</v>
      </c>
    </row>
    <row r="50" spans="2:10" x14ac:dyDescent="0.2">
      <c r="B50" s="3" t="s">
        <v>38</v>
      </c>
    </row>
    <row r="51" spans="2:10" x14ac:dyDescent="0.2">
      <c r="B51" s="3" t="s">
        <v>39</v>
      </c>
    </row>
    <row r="52" spans="2:10" x14ac:dyDescent="0.2">
      <c r="B52" s="3" t="s">
        <v>40</v>
      </c>
    </row>
    <row r="53" spans="2:10" x14ac:dyDescent="0.2">
      <c r="B53" s="3"/>
    </row>
    <row r="54" spans="2:10" x14ac:dyDescent="0.2">
      <c r="B54" s="2" t="s">
        <v>41</v>
      </c>
    </row>
    <row r="55" spans="2:10" x14ac:dyDescent="0.2">
      <c r="B55" s="3" t="s">
        <v>42</v>
      </c>
    </row>
    <row r="56" spans="2:10" x14ac:dyDescent="0.2">
      <c r="B56" s="3" t="s">
        <v>43</v>
      </c>
    </row>
    <row r="57" spans="2:10" x14ac:dyDescent="0.2">
      <c r="B57" s="3" t="s">
        <v>44</v>
      </c>
    </row>
    <row r="58" spans="2:10" x14ac:dyDescent="0.2">
      <c r="B58" s="3"/>
    </row>
    <row r="59" spans="2:10" x14ac:dyDescent="0.2">
      <c r="B59" s="2" t="s">
        <v>45</v>
      </c>
    </row>
    <row r="60" spans="2:10" x14ac:dyDescent="0.2">
      <c r="B60" s="3" t="s">
        <v>46</v>
      </c>
    </row>
    <row r="61" spans="2:10" x14ac:dyDescent="0.2">
      <c r="B61" s="3" t="s">
        <v>47</v>
      </c>
    </row>
    <row r="62" spans="2:10" x14ac:dyDescent="0.2">
      <c r="B62" s="3" t="s">
        <v>48</v>
      </c>
    </row>
    <row r="63" spans="2:10" x14ac:dyDescent="0.2">
      <c r="B63" s="3"/>
    </row>
    <row r="64" spans="2:10" x14ac:dyDescent="0.2">
      <c r="B64" s="4" t="s">
        <v>49</v>
      </c>
      <c r="C64" s="4"/>
      <c r="D64" s="4"/>
      <c r="E64" s="4"/>
      <c r="F64" s="4"/>
      <c r="G64" s="4"/>
      <c r="H64" s="4"/>
      <c r="I64" s="4"/>
      <c r="J64" s="4"/>
    </row>
    <row r="65" spans="2:10" x14ac:dyDescent="0.2">
      <c r="B65" s="4"/>
      <c r="C65" s="4"/>
      <c r="D65" s="4"/>
      <c r="E65" s="4"/>
      <c r="F65" s="4"/>
      <c r="G65" s="4"/>
      <c r="H65" s="4"/>
      <c r="I65" s="4"/>
      <c r="J65" s="4"/>
    </row>
    <row r="66" spans="2:10" x14ac:dyDescent="0.2">
      <c r="B66" s="4"/>
      <c r="C66" s="4"/>
      <c r="D66" s="4"/>
      <c r="E66" s="4"/>
      <c r="F66" s="4"/>
      <c r="G66" s="4"/>
      <c r="H66" s="4"/>
      <c r="I66" s="4"/>
      <c r="J66" s="4"/>
    </row>
    <row r="67" spans="2:10" x14ac:dyDescent="0.2">
      <c r="B67" s="4"/>
      <c r="C67" s="4"/>
      <c r="D67" s="4"/>
      <c r="E67" s="4"/>
      <c r="F67" s="4"/>
      <c r="G67" s="4"/>
      <c r="H67" s="4"/>
      <c r="I67" s="4"/>
      <c r="J67" s="4"/>
    </row>
    <row r="68" spans="2:10" x14ac:dyDescent="0.2">
      <c r="B68" s="4"/>
      <c r="C68" s="4"/>
      <c r="D68" s="4"/>
      <c r="E68" s="4"/>
      <c r="F68" s="4"/>
      <c r="G68" s="4"/>
      <c r="H68" s="4"/>
      <c r="I68" s="4"/>
      <c r="J68" s="4"/>
    </row>
    <row r="69" spans="2:10" x14ac:dyDescent="0.2">
      <c r="B69" s="4"/>
      <c r="C69" s="4"/>
      <c r="D69" s="4"/>
      <c r="E69" s="4"/>
      <c r="F69" s="4"/>
      <c r="G69" s="4"/>
      <c r="H69" s="4"/>
      <c r="I69" s="4"/>
      <c r="J69" s="4"/>
    </row>
    <row r="70" spans="2:10" x14ac:dyDescent="0.2">
      <c r="B70" s="4"/>
      <c r="C70" s="4"/>
      <c r="D70" s="4"/>
      <c r="E70" s="4"/>
      <c r="F70" s="4"/>
      <c r="G70" s="4"/>
      <c r="H70" s="4"/>
      <c r="I70" s="4"/>
      <c r="J70" s="4"/>
    </row>
  </sheetData>
  <mergeCells count="1">
    <mergeCell ref="B64:J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B94E-626D-7946-88B1-0EFAE0D4E52C}">
  <dimension ref="A1"/>
  <sheetViews>
    <sheetView zoomScale="230" workbookViewId="0">
      <selection activeCell="B2" sqref="B2"/>
    </sheetView>
  </sheetViews>
  <sheetFormatPr baseColWidth="10" defaultRowHeight="16" x14ac:dyDescent="0.2"/>
  <cols>
    <col min="1" max="1" width="3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3E83-8DA7-5D4A-93DE-78B94130E106}">
  <dimension ref="B2:N82"/>
  <sheetViews>
    <sheetView tabSelected="1" topLeftCell="A63" zoomScale="226" workbookViewId="0">
      <selection activeCell="H71" sqref="H71"/>
    </sheetView>
  </sheetViews>
  <sheetFormatPr baseColWidth="10" defaultRowHeight="16" x14ac:dyDescent="0.2"/>
  <cols>
    <col min="1" max="1" width="6" customWidth="1"/>
    <col min="2" max="2" width="8.33203125" bestFit="1" customWidth="1"/>
    <col min="3" max="3" width="7.6640625" bestFit="1" customWidth="1"/>
    <col min="4" max="4" width="6" bestFit="1" customWidth="1"/>
    <col min="5" max="6" width="6" customWidth="1"/>
  </cols>
  <sheetData>
    <row r="2" spans="2:13" x14ac:dyDescent="0.2">
      <c r="B2" t="s">
        <v>50</v>
      </c>
    </row>
    <row r="4" spans="2:13" x14ac:dyDescent="0.2">
      <c r="B4" t="s">
        <v>51</v>
      </c>
      <c r="C4" t="s">
        <v>52</v>
      </c>
      <c r="D4" t="s">
        <v>53</v>
      </c>
      <c r="G4" t="s">
        <v>51</v>
      </c>
      <c r="H4" t="s">
        <v>52</v>
      </c>
      <c r="I4" t="s">
        <v>53</v>
      </c>
      <c r="K4" t="s">
        <v>51</v>
      </c>
      <c r="L4" t="s">
        <v>52</v>
      </c>
      <c r="M4" t="s">
        <v>53</v>
      </c>
    </row>
    <row r="5" spans="2:13" x14ac:dyDescent="0.2">
      <c r="B5">
        <v>1</v>
      </c>
      <c r="C5" t="s">
        <v>54</v>
      </c>
      <c r="D5">
        <v>55</v>
      </c>
      <c r="G5" cm="1">
        <f t="array" ref="G5:I16">_xlfn.SORTBY(B5:D16,C5:C16,1,D5:D16,-1)</f>
        <v>2</v>
      </c>
      <c r="H5" t="str">
        <v>English</v>
      </c>
      <c r="I5">
        <v>82</v>
      </c>
      <c r="K5" cm="1">
        <f t="array" ref="K5:M16">_xlfn.SORTBY(B5:D16,B5:B16,1,C5:C16,1,D5:D16,-1)</f>
        <v>1</v>
      </c>
      <c r="L5" t="str">
        <v>English</v>
      </c>
      <c r="M5">
        <v>81</v>
      </c>
    </row>
    <row r="6" spans="2:13" x14ac:dyDescent="0.2">
      <c r="B6">
        <v>1</v>
      </c>
      <c r="C6" t="s">
        <v>55</v>
      </c>
      <c r="D6">
        <v>85</v>
      </c>
      <c r="G6">
        <v>1</v>
      </c>
      <c r="H6" t="str">
        <v>English</v>
      </c>
      <c r="I6">
        <v>81</v>
      </c>
      <c r="K6">
        <v>1</v>
      </c>
      <c r="L6" t="str">
        <v>Hindi</v>
      </c>
      <c r="M6">
        <v>73</v>
      </c>
    </row>
    <row r="7" spans="2:13" x14ac:dyDescent="0.2">
      <c r="B7">
        <v>1</v>
      </c>
      <c r="C7" t="s">
        <v>56</v>
      </c>
      <c r="D7">
        <v>81</v>
      </c>
      <c r="G7">
        <v>3</v>
      </c>
      <c r="H7" t="str">
        <v>English</v>
      </c>
      <c r="I7">
        <v>77</v>
      </c>
      <c r="K7">
        <v>1</v>
      </c>
      <c r="L7" t="str">
        <v>Maths</v>
      </c>
      <c r="M7">
        <v>55</v>
      </c>
    </row>
    <row r="8" spans="2:13" x14ac:dyDescent="0.2">
      <c r="B8">
        <v>2</v>
      </c>
      <c r="C8" t="s">
        <v>54</v>
      </c>
      <c r="D8">
        <v>93</v>
      </c>
      <c r="G8">
        <v>3</v>
      </c>
      <c r="H8" t="str">
        <v>Hindi</v>
      </c>
      <c r="I8">
        <v>85</v>
      </c>
      <c r="K8">
        <v>1</v>
      </c>
      <c r="L8" t="str">
        <v>Science</v>
      </c>
      <c r="M8">
        <v>85</v>
      </c>
    </row>
    <row r="9" spans="2:13" x14ac:dyDescent="0.2">
      <c r="B9">
        <v>2</v>
      </c>
      <c r="C9" t="s">
        <v>55</v>
      </c>
      <c r="D9">
        <v>78</v>
      </c>
      <c r="G9">
        <v>1</v>
      </c>
      <c r="H9" t="str">
        <v>Hindi</v>
      </c>
      <c r="I9">
        <v>73</v>
      </c>
      <c r="K9">
        <v>2</v>
      </c>
      <c r="L9" t="str">
        <v>English</v>
      </c>
      <c r="M9">
        <v>82</v>
      </c>
    </row>
    <row r="10" spans="2:13" x14ac:dyDescent="0.2">
      <c r="B10">
        <v>2</v>
      </c>
      <c r="C10" t="s">
        <v>56</v>
      </c>
      <c r="D10">
        <v>82</v>
      </c>
      <c r="G10">
        <v>2</v>
      </c>
      <c r="H10" t="str">
        <v>Hindi</v>
      </c>
      <c r="I10">
        <v>67</v>
      </c>
      <c r="K10">
        <v>2</v>
      </c>
      <c r="L10" t="str">
        <v>Hindi</v>
      </c>
      <c r="M10">
        <v>67</v>
      </c>
    </row>
    <row r="11" spans="2:13" x14ac:dyDescent="0.2">
      <c r="B11">
        <v>3</v>
      </c>
      <c r="C11" t="s">
        <v>54</v>
      </c>
      <c r="D11">
        <v>85</v>
      </c>
      <c r="G11">
        <v>2</v>
      </c>
      <c r="H11" t="str">
        <v>Maths</v>
      </c>
      <c r="I11">
        <v>93</v>
      </c>
      <c r="K11">
        <v>2</v>
      </c>
      <c r="L11" t="str">
        <v>Maths</v>
      </c>
      <c r="M11">
        <v>93</v>
      </c>
    </row>
    <row r="12" spans="2:13" x14ac:dyDescent="0.2">
      <c r="B12">
        <v>3</v>
      </c>
      <c r="C12" t="s">
        <v>55</v>
      </c>
      <c r="D12">
        <v>48</v>
      </c>
      <c r="G12">
        <v>3</v>
      </c>
      <c r="H12" t="str">
        <v>Maths</v>
      </c>
      <c r="I12">
        <v>85</v>
      </c>
      <c r="K12">
        <v>2</v>
      </c>
      <c r="L12" t="str">
        <v>Science</v>
      </c>
      <c r="M12">
        <v>78</v>
      </c>
    </row>
    <row r="13" spans="2:13" x14ac:dyDescent="0.2">
      <c r="B13">
        <v>3</v>
      </c>
      <c r="C13" t="s">
        <v>56</v>
      </c>
      <c r="D13">
        <v>77</v>
      </c>
      <c r="G13">
        <v>1</v>
      </c>
      <c r="H13" t="str">
        <v>Maths</v>
      </c>
      <c r="I13">
        <v>55</v>
      </c>
      <c r="K13">
        <v>3</v>
      </c>
      <c r="L13" t="str">
        <v>English</v>
      </c>
      <c r="M13">
        <v>77</v>
      </c>
    </row>
    <row r="14" spans="2:13" x14ac:dyDescent="0.2">
      <c r="B14">
        <v>1</v>
      </c>
      <c r="C14" t="s">
        <v>57</v>
      </c>
      <c r="D14">
        <v>73</v>
      </c>
      <c r="G14">
        <v>1</v>
      </c>
      <c r="H14" t="str">
        <v>Science</v>
      </c>
      <c r="I14">
        <v>85</v>
      </c>
      <c r="K14">
        <v>3</v>
      </c>
      <c r="L14" t="str">
        <v>Hindi</v>
      </c>
      <c r="M14">
        <v>85</v>
      </c>
    </row>
    <row r="15" spans="2:13" x14ac:dyDescent="0.2">
      <c r="B15">
        <v>2</v>
      </c>
      <c r="C15" t="s">
        <v>57</v>
      </c>
      <c r="D15">
        <v>67</v>
      </c>
      <c r="G15">
        <v>2</v>
      </c>
      <c r="H15" t="str">
        <v>Science</v>
      </c>
      <c r="I15">
        <v>78</v>
      </c>
      <c r="K15">
        <v>3</v>
      </c>
      <c r="L15" t="str">
        <v>Maths</v>
      </c>
      <c r="M15">
        <v>85</v>
      </c>
    </row>
    <row r="16" spans="2:13" x14ac:dyDescent="0.2">
      <c r="B16">
        <v>3</v>
      </c>
      <c r="C16" t="s">
        <v>57</v>
      </c>
      <c r="D16">
        <v>85</v>
      </c>
      <c r="G16">
        <v>3</v>
      </c>
      <c r="H16" t="str">
        <v>Science</v>
      </c>
      <c r="I16">
        <v>48</v>
      </c>
      <c r="K16">
        <v>3</v>
      </c>
      <c r="L16" t="str">
        <v>Science</v>
      </c>
      <c r="M16">
        <v>48</v>
      </c>
    </row>
    <row r="19" spans="2:14" x14ac:dyDescent="0.2">
      <c r="B19" s="5" t="s">
        <v>58</v>
      </c>
      <c r="C19" s="5"/>
      <c r="D19" s="5"/>
      <c r="E19" s="5"/>
      <c r="F19" s="5"/>
      <c r="G19" s="5"/>
      <c r="I19" s="5" t="s">
        <v>61</v>
      </c>
      <c r="J19" s="5"/>
      <c r="K19" s="5"/>
      <c r="L19" s="5"/>
      <c r="M19" s="5"/>
      <c r="N19" s="5"/>
    </row>
    <row r="20" spans="2:14" x14ac:dyDescent="0.2">
      <c r="B20" s="4" t="s">
        <v>59</v>
      </c>
      <c r="C20" s="4"/>
      <c r="D20" s="4"/>
      <c r="E20" s="4"/>
      <c r="F20" s="4"/>
      <c r="G20" s="4"/>
      <c r="I20" s="4" t="s">
        <v>62</v>
      </c>
      <c r="J20" s="4"/>
      <c r="K20" s="4"/>
      <c r="L20" s="4"/>
      <c r="M20" s="4"/>
      <c r="N20" s="4"/>
    </row>
    <row r="21" spans="2:14" x14ac:dyDescent="0.2">
      <c r="B21" s="4"/>
      <c r="C21" s="4"/>
      <c r="D21" s="4"/>
      <c r="E21" s="4"/>
      <c r="F21" s="4"/>
      <c r="G21" s="4"/>
      <c r="I21" s="4"/>
      <c r="J21" s="4"/>
      <c r="K21" s="4"/>
      <c r="L21" s="4"/>
      <c r="M21" s="4"/>
      <c r="N21" s="4"/>
    </row>
    <row r="22" spans="2:14" x14ac:dyDescent="0.2">
      <c r="B22" s="4"/>
      <c r="C22" s="4"/>
      <c r="D22" s="4"/>
      <c r="E22" s="4"/>
      <c r="F22" s="4"/>
      <c r="G22" s="4"/>
      <c r="I22" s="4"/>
      <c r="J22" s="4"/>
      <c r="K22" s="4"/>
      <c r="L22" s="4"/>
      <c r="M22" s="4"/>
      <c r="N22" s="4"/>
    </row>
    <row r="23" spans="2:14" x14ac:dyDescent="0.2">
      <c r="B23" s="4"/>
      <c r="C23" s="4"/>
      <c r="D23" s="4"/>
      <c r="E23" s="4"/>
      <c r="F23" s="4"/>
      <c r="G23" s="4"/>
      <c r="I23" s="4"/>
      <c r="J23" s="4"/>
      <c r="K23" s="4"/>
      <c r="L23" s="4"/>
      <c r="M23" s="4"/>
      <c r="N23" s="4"/>
    </row>
    <row r="24" spans="2:14" x14ac:dyDescent="0.2">
      <c r="B24" s="4" t="s">
        <v>60</v>
      </c>
      <c r="C24" s="4"/>
      <c r="D24" s="4"/>
      <c r="E24" s="4"/>
      <c r="F24" s="4"/>
      <c r="G24" s="4"/>
      <c r="I24" s="4" t="s">
        <v>62</v>
      </c>
      <c r="J24" s="4"/>
      <c r="K24" s="4"/>
      <c r="L24" s="4"/>
      <c r="M24" s="4"/>
      <c r="N24" s="4"/>
    </row>
    <row r="25" spans="2:14" x14ac:dyDescent="0.2">
      <c r="B25" s="4"/>
      <c r="C25" s="4"/>
      <c r="D25" s="4"/>
      <c r="E25" s="4"/>
      <c r="F25" s="4"/>
      <c r="G25" s="4"/>
      <c r="I25" s="4"/>
      <c r="J25" s="4"/>
      <c r="K25" s="4"/>
      <c r="L25" s="4"/>
      <c r="M25" s="4"/>
      <c r="N25" s="4"/>
    </row>
    <row r="26" spans="2:14" x14ac:dyDescent="0.2">
      <c r="B26" s="4"/>
      <c r="C26" s="4"/>
      <c r="D26" s="4"/>
      <c r="E26" s="4"/>
      <c r="F26" s="4"/>
      <c r="G26" s="4"/>
      <c r="I26" s="4"/>
      <c r="J26" s="4"/>
      <c r="K26" s="4"/>
      <c r="L26" s="4"/>
      <c r="M26" s="4"/>
      <c r="N26" s="4"/>
    </row>
    <row r="27" spans="2:14" x14ac:dyDescent="0.2">
      <c r="B27" s="4"/>
      <c r="C27" s="4"/>
      <c r="D27" s="4"/>
      <c r="E27" s="4"/>
      <c r="F27" s="4"/>
      <c r="G27" s="4"/>
      <c r="I27" s="4"/>
      <c r="J27" s="4"/>
      <c r="K27" s="4"/>
      <c r="L27" s="4"/>
      <c r="M27" s="4"/>
      <c r="N27" s="4"/>
    </row>
    <row r="29" spans="2:14" x14ac:dyDescent="0.2">
      <c r="B29" s="5" t="s">
        <v>63</v>
      </c>
      <c r="C29" s="5"/>
      <c r="D29" s="5"/>
      <c r="E29" s="5"/>
      <c r="F29" s="5"/>
      <c r="G29" s="5"/>
      <c r="I29" s="5" t="s">
        <v>64</v>
      </c>
      <c r="J29" s="5"/>
      <c r="K29" s="5"/>
      <c r="L29" s="5"/>
      <c r="M29" s="5"/>
      <c r="N29" s="5"/>
    </row>
    <row r="30" spans="2:14" x14ac:dyDescent="0.2">
      <c r="B30" s="4" t="s">
        <v>68</v>
      </c>
      <c r="C30" s="4"/>
      <c r="D30" s="4"/>
      <c r="E30" s="4"/>
      <c r="F30" s="4"/>
      <c r="G30" s="4"/>
      <c r="I30" s="4" t="s">
        <v>65</v>
      </c>
      <c r="J30" s="4"/>
      <c r="K30" s="4"/>
      <c r="L30" s="4"/>
      <c r="M30" s="4"/>
      <c r="N30" s="4"/>
    </row>
    <row r="31" spans="2:14" x14ac:dyDescent="0.2">
      <c r="B31" s="4"/>
      <c r="C31" s="4"/>
      <c r="D31" s="4"/>
      <c r="E31" s="4"/>
      <c r="F31" s="4"/>
      <c r="G31" s="4"/>
      <c r="I31" s="4"/>
      <c r="J31" s="4"/>
      <c r="K31" s="4"/>
      <c r="L31" s="4"/>
      <c r="M31" s="4"/>
      <c r="N31" s="4"/>
    </row>
    <row r="32" spans="2:14" x14ac:dyDescent="0.2">
      <c r="B32" s="4"/>
      <c r="C32" s="4"/>
      <c r="D32" s="4"/>
      <c r="E32" s="4"/>
      <c r="F32" s="4"/>
      <c r="G32" s="4"/>
      <c r="I32" s="4"/>
      <c r="J32" s="4"/>
      <c r="K32" s="4"/>
      <c r="L32" s="4"/>
      <c r="M32" s="4"/>
      <c r="N32" s="4"/>
    </row>
    <row r="33" spans="2:14" x14ac:dyDescent="0.2">
      <c r="B33" s="4"/>
      <c r="C33" s="4"/>
      <c r="D33" s="4"/>
      <c r="E33" s="4"/>
      <c r="F33" s="4"/>
      <c r="G33" s="4"/>
      <c r="I33" s="4"/>
      <c r="J33" s="4"/>
      <c r="K33" s="4"/>
      <c r="L33" s="4"/>
      <c r="M33" s="4"/>
      <c r="N33" s="4"/>
    </row>
    <row r="35" spans="2:14" ht="17" thickBot="1" x14ac:dyDescent="0.25">
      <c r="B35" t="s">
        <v>51</v>
      </c>
      <c r="C35" t="s">
        <v>52</v>
      </c>
      <c r="D35" t="s">
        <v>53</v>
      </c>
      <c r="E35" t="s">
        <v>67</v>
      </c>
      <c r="I35" t="s">
        <v>51</v>
      </c>
      <c r="J35" t="s">
        <v>52</v>
      </c>
      <c r="K35" t="s">
        <v>53</v>
      </c>
      <c r="M35" t="s">
        <v>51</v>
      </c>
      <c r="N35" t="s">
        <v>66</v>
      </c>
    </row>
    <row r="36" spans="2:14" x14ac:dyDescent="0.2">
      <c r="B36" s="7">
        <v>2</v>
      </c>
      <c r="C36" s="8" t="s">
        <v>56</v>
      </c>
      <c r="D36" s="9">
        <v>82</v>
      </c>
      <c r="E36">
        <v>1</v>
      </c>
      <c r="F36">
        <v>1</v>
      </c>
      <c r="G36">
        <v>100</v>
      </c>
      <c r="H36">
        <f>AVERAGE($D$36:$D$38)</f>
        <v>80</v>
      </c>
      <c r="I36">
        <v>1</v>
      </c>
      <c r="J36" t="s">
        <v>54</v>
      </c>
      <c r="K36">
        <v>55</v>
      </c>
      <c r="M36" cm="1">
        <f t="array" ref="M36:M38">_xlfn.UNIQUE(I36:I47)</f>
        <v>1</v>
      </c>
      <c r="N36">
        <f>AVERAGEIF($I$36:$I$47,M36,$K$36:$K$47)</f>
        <v>73.5</v>
      </c>
    </row>
    <row r="37" spans="2:14" x14ac:dyDescent="0.2">
      <c r="B37" s="10">
        <v>1</v>
      </c>
      <c r="C37" s="11" t="s">
        <v>56</v>
      </c>
      <c r="D37" s="12">
        <v>81</v>
      </c>
      <c r="E37" s="6">
        <v>2</v>
      </c>
      <c r="F37" s="11">
        <v>2</v>
      </c>
      <c r="G37" s="11">
        <v>100</v>
      </c>
      <c r="H37">
        <f t="shared" ref="H37:H38" si="0">AVERAGE($D$36:$D$38)</f>
        <v>80</v>
      </c>
      <c r="I37">
        <v>1</v>
      </c>
      <c r="J37" t="s">
        <v>55</v>
      </c>
      <c r="K37">
        <v>85</v>
      </c>
      <c r="M37">
        <v>2</v>
      </c>
      <c r="N37">
        <f t="shared" ref="N37:N38" si="1">AVERAGEIF($I$36:$I$47,M37,$K$36:$K$47)</f>
        <v>80</v>
      </c>
    </row>
    <row r="38" spans="2:14" ht="17" thickBot="1" x14ac:dyDescent="0.25">
      <c r="B38" s="13">
        <v>3</v>
      </c>
      <c r="C38" s="14" t="s">
        <v>56</v>
      </c>
      <c r="D38" s="15">
        <v>77</v>
      </c>
      <c r="E38">
        <v>3</v>
      </c>
      <c r="F38">
        <v>3</v>
      </c>
      <c r="H38">
        <f t="shared" si="0"/>
        <v>80</v>
      </c>
      <c r="I38">
        <v>1</v>
      </c>
      <c r="J38" t="s">
        <v>56</v>
      </c>
      <c r="K38">
        <v>81</v>
      </c>
      <c r="M38">
        <v>3</v>
      </c>
      <c r="N38">
        <f t="shared" si="1"/>
        <v>73.75</v>
      </c>
    </row>
    <row r="39" spans="2:14" x14ac:dyDescent="0.2">
      <c r="B39" s="7">
        <v>3</v>
      </c>
      <c r="C39" s="8" t="s">
        <v>57</v>
      </c>
      <c r="D39" s="9">
        <v>85</v>
      </c>
      <c r="E39">
        <v>1</v>
      </c>
      <c r="F39" s="11">
        <v>4</v>
      </c>
      <c r="G39">
        <v>100</v>
      </c>
      <c r="I39">
        <v>2</v>
      </c>
      <c r="J39" t="s">
        <v>54</v>
      </c>
      <c r="K39">
        <v>93</v>
      </c>
    </row>
    <row r="40" spans="2:14" x14ac:dyDescent="0.2">
      <c r="B40" s="10">
        <v>1</v>
      </c>
      <c r="C40" s="11" t="s">
        <v>57</v>
      </c>
      <c r="D40" s="12">
        <v>73</v>
      </c>
      <c r="E40" s="6">
        <v>2</v>
      </c>
      <c r="F40">
        <v>5</v>
      </c>
      <c r="G40" s="11">
        <v>7</v>
      </c>
      <c r="I40">
        <v>2</v>
      </c>
      <c r="J40" t="s">
        <v>55</v>
      </c>
      <c r="K40">
        <v>78</v>
      </c>
      <c r="M40" t="s">
        <v>52</v>
      </c>
    </row>
    <row r="41" spans="2:14" ht="17" thickBot="1" x14ac:dyDescent="0.25">
      <c r="B41" s="13">
        <v>2</v>
      </c>
      <c r="C41" s="14" t="s">
        <v>57</v>
      </c>
      <c r="D41" s="15">
        <v>67</v>
      </c>
      <c r="E41">
        <v>3</v>
      </c>
      <c r="F41" s="11">
        <v>6</v>
      </c>
      <c r="I41">
        <v>2</v>
      </c>
      <c r="J41" t="s">
        <v>56</v>
      </c>
      <c r="K41">
        <v>82</v>
      </c>
      <c r="M41" t="str" cm="1">
        <f t="array" ref="M41:M44">_xlfn.UNIQUE(J36:J47)</f>
        <v>Maths</v>
      </c>
    </row>
    <row r="42" spans="2:14" x14ac:dyDescent="0.2">
      <c r="B42" s="7">
        <v>2</v>
      </c>
      <c r="C42" s="8" t="s">
        <v>54</v>
      </c>
      <c r="D42" s="9">
        <v>93</v>
      </c>
      <c r="E42">
        <v>1</v>
      </c>
      <c r="F42">
        <v>7</v>
      </c>
      <c r="I42">
        <v>3</v>
      </c>
      <c r="J42" t="s">
        <v>54</v>
      </c>
      <c r="K42">
        <v>85</v>
      </c>
      <c r="M42" t="str">
        <v>Science</v>
      </c>
    </row>
    <row r="43" spans="2:14" x14ac:dyDescent="0.2">
      <c r="B43" s="10">
        <v>3</v>
      </c>
      <c r="C43" s="11" t="s">
        <v>54</v>
      </c>
      <c r="D43" s="12">
        <v>85</v>
      </c>
      <c r="E43" s="6">
        <v>2</v>
      </c>
      <c r="F43" s="11">
        <v>8</v>
      </c>
      <c r="I43">
        <v>3</v>
      </c>
      <c r="J43" t="s">
        <v>55</v>
      </c>
      <c r="K43">
        <v>48</v>
      </c>
      <c r="M43" t="str">
        <v>English</v>
      </c>
    </row>
    <row r="44" spans="2:14" ht="17" thickBot="1" x14ac:dyDescent="0.25">
      <c r="B44" s="13">
        <v>1</v>
      </c>
      <c r="C44" s="14" t="s">
        <v>54</v>
      </c>
      <c r="D44" s="15">
        <v>55</v>
      </c>
      <c r="E44">
        <v>3</v>
      </c>
      <c r="F44">
        <v>9</v>
      </c>
      <c r="I44">
        <v>3</v>
      </c>
      <c r="J44" t="s">
        <v>56</v>
      </c>
      <c r="K44">
        <v>77</v>
      </c>
      <c r="M44" t="str">
        <v>Hindi</v>
      </c>
    </row>
    <row r="45" spans="2:14" x14ac:dyDescent="0.2">
      <c r="B45" s="7">
        <v>1</v>
      </c>
      <c r="C45" s="8" t="s">
        <v>55</v>
      </c>
      <c r="D45" s="9">
        <v>85</v>
      </c>
      <c r="E45">
        <v>1</v>
      </c>
      <c r="F45" s="11">
        <v>10</v>
      </c>
      <c r="I45">
        <v>1</v>
      </c>
      <c r="J45" t="s">
        <v>57</v>
      </c>
      <c r="K45">
        <v>73</v>
      </c>
    </row>
    <row r="46" spans="2:14" x14ac:dyDescent="0.2">
      <c r="B46" s="10">
        <v>2</v>
      </c>
      <c r="C46" s="11" t="s">
        <v>55</v>
      </c>
      <c r="D46" s="12">
        <v>78</v>
      </c>
      <c r="E46" s="6">
        <v>2</v>
      </c>
      <c r="F46">
        <v>11</v>
      </c>
      <c r="I46">
        <v>2</v>
      </c>
      <c r="J46" t="s">
        <v>57</v>
      </c>
      <c r="K46">
        <v>67</v>
      </c>
    </row>
    <row r="47" spans="2:14" ht="17" thickBot="1" x14ac:dyDescent="0.25">
      <c r="B47" s="13">
        <v>3</v>
      </c>
      <c r="C47" s="14" t="s">
        <v>55</v>
      </c>
      <c r="D47" s="15">
        <v>48</v>
      </c>
      <c r="E47">
        <v>3</v>
      </c>
      <c r="F47" s="11">
        <v>12</v>
      </c>
      <c r="I47">
        <v>3</v>
      </c>
      <c r="J47" t="s">
        <v>57</v>
      </c>
      <c r="K47">
        <v>85</v>
      </c>
    </row>
    <row r="48" spans="2:14" ht="17" thickBot="1" x14ac:dyDescent="0.25"/>
    <row r="49" spans="2:12" x14ac:dyDescent="0.2">
      <c r="B49" s="7"/>
      <c r="C49" s="9"/>
      <c r="G49" t="s">
        <v>69</v>
      </c>
    </row>
    <row r="50" spans="2:12" x14ac:dyDescent="0.2">
      <c r="B50" s="16"/>
      <c r="C50" s="17"/>
    </row>
    <row r="51" spans="2:12" x14ac:dyDescent="0.2">
      <c r="B51" s="16"/>
      <c r="C51" s="17"/>
      <c r="G51">
        <v>1</v>
      </c>
      <c r="H51">
        <v>73</v>
      </c>
      <c r="J51">
        <v>3</v>
      </c>
      <c r="K51">
        <v>85</v>
      </c>
      <c r="L51">
        <v>1</v>
      </c>
    </row>
    <row r="52" spans="2:12" ht="17" thickBot="1" x14ac:dyDescent="0.25">
      <c r="B52" s="13"/>
      <c r="C52" s="15"/>
      <c r="G52">
        <v>2</v>
      </c>
      <c r="H52">
        <v>67</v>
      </c>
      <c r="J52">
        <v>1</v>
      </c>
      <c r="K52">
        <v>73</v>
      </c>
      <c r="L52">
        <v>2</v>
      </c>
    </row>
    <row r="53" spans="2:12" x14ac:dyDescent="0.2">
      <c r="B53" s="7"/>
      <c r="C53" s="9"/>
      <c r="G53">
        <v>3</v>
      </c>
      <c r="H53">
        <v>85</v>
      </c>
      <c r="J53">
        <v>2</v>
      </c>
      <c r="K53">
        <v>67</v>
      </c>
      <c r="L53">
        <v>3</v>
      </c>
    </row>
    <row r="54" spans="2:12" x14ac:dyDescent="0.2">
      <c r="B54" s="16"/>
      <c r="C54" s="17"/>
    </row>
    <row r="55" spans="2:12" x14ac:dyDescent="0.2">
      <c r="B55" s="16"/>
      <c r="C55" s="17"/>
      <c r="J55">
        <v>1</v>
      </c>
      <c r="K55">
        <v>2</v>
      </c>
      <c r="L55">
        <v>3</v>
      </c>
    </row>
    <row r="56" spans="2:12" ht="17" thickBot="1" x14ac:dyDescent="0.25">
      <c r="B56" s="13"/>
      <c r="C56" s="15"/>
      <c r="J56" t="s">
        <v>70</v>
      </c>
      <c r="K56" t="s">
        <v>71</v>
      </c>
      <c r="L56" t="s">
        <v>72</v>
      </c>
    </row>
    <row r="57" spans="2:12" x14ac:dyDescent="0.2">
      <c r="B57" s="7"/>
      <c r="C57" s="9"/>
      <c r="H57">
        <v>55</v>
      </c>
      <c r="I57" cm="1">
        <f t="array" ref="I57:I68">_xlfn._xlws.SORT(H57:H68,,-1)</f>
        <v>97</v>
      </c>
      <c r="J57">
        <v>1</v>
      </c>
      <c r="K57">
        <v>1</v>
      </c>
      <c r="L57">
        <v>1</v>
      </c>
    </row>
    <row r="58" spans="2:12" x14ac:dyDescent="0.2">
      <c r="B58" s="16"/>
      <c r="C58" s="17"/>
      <c r="H58">
        <v>85</v>
      </c>
      <c r="I58">
        <v>95</v>
      </c>
      <c r="J58">
        <v>2</v>
      </c>
      <c r="K58">
        <v>2</v>
      </c>
      <c r="L58">
        <v>2</v>
      </c>
    </row>
    <row r="59" spans="2:12" ht="17" thickBot="1" x14ac:dyDescent="0.25">
      <c r="B59" s="13"/>
      <c r="C59" s="15"/>
      <c r="H59">
        <v>95</v>
      </c>
      <c r="I59">
        <v>93</v>
      </c>
      <c r="J59">
        <v>3</v>
      </c>
      <c r="K59">
        <v>3</v>
      </c>
      <c r="L59">
        <v>3</v>
      </c>
    </row>
    <row r="60" spans="2:12" x14ac:dyDescent="0.2">
      <c r="B60" s="16"/>
      <c r="C60" s="17"/>
      <c r="H60">
        <v>93</v>
      </c>
      <c r="I60">
        <v>93</v>
      </c>
      <c r="J60">
        <v>4</v>
      </c>
      <c r="K60">
        <v>3</v>
      </c>
      <c r="L60">
        <v>3</v>
      </c>
    </row>
    <row r="61" spans="2:12" x14ac:dyDescent="0.2">
      <c r="B61" s="16"/>
      <c r="C61" s="17"/>
      <c r="H61">
        <v>81</v>
      </c>
      <c r="I61">
        <v>85</v>
      </c>
      <c r="J61">
        <v>5</v>
      </c>
      <c r="K61">
        <v>5</v>
      </c>
      <c r="L61">
        <v>4</v>
      </c>
    </row>
    <row r="62" spans="2:12" ht="17" thickBot="1" x14ac:dyDescent="0.25">
      <c r="B62" s="13"/>
      <c r="C62" s="15"/>
      <c r="H62">
        <v>97</v>
      </c>
      <c r="I62">
        <v>85</v>
      </c>
      <c r="J62">
        <v>6</v>
      </c>
      <c r="K62">
        <v>5</v>
      </c>
      <c r="L62">
        <v>4</v>
      </c>
    </row>
    <row r="63" spans="2:12" x14ac:dyDescent="0.2">
      <c r="H63">
        <v>55</v>
      </c>
      <c r="I63">
        <v>82</v>
      </c>
      <c r="J63">
        <v>7</v>
      </c>
      <c r="K63">
        <v>7</v>
      </c>
      <c r="L63">
        <v>5</v>
      </c>
    </row>
    <row r="64" spans="2:12" x14ac:dyDescent="0.2">
      <c r="H64">
        <v>85</v>
      </c>
      <c r="I64">
        <v>81</v>
      </c>
      <c r="J64">
        <v>8</v>
      </c>
      <c r="K64">
        <v>8</v>
      </c>
      <c r="L64">
        <v>6</v>
      </c>
    </row>
    <row r="65" spans="2:12" x14ac:dyDescent="0.2">
      <c r="H65">
        <v>81</v>
      </c>
      <c r="I65">
        <v>81</v>
      </c>
      <c r="J65">
        <v>9</v>
      </c>
      <c r="K65">
        <v>8</v>
      </c>
      <c r="L65">
        <v>6</v>
      </c>
    </row>
    <row r="66" spans="2:12" ht="17" thickBot="1" x14ac:dyDescent="0.25">
      <c r="H66">
        <v>93</v>
      </c>
      <c r="I66">
        <v>81</v>
      </c>
      <c r="J66">
        <v>10</v>
      </c>
      <c r="K66">
        <v>8</v>
      </c>
      <c r="L66">
        <v>6</v>
      </c>
    </row>
    <row r="67" spans="2:12" x14ac:dyDescent="0.2">
      <c r="B67" s="7"/>
      <c r="C67" s="9"/>
      <c r="E67" s="7"/>
      <c r="F67" s="9"/>
      <c r="H67">
        <v>81</v>
      </c>
      <c r="I67">
        <v>55</v>
      </c>
      <c r="J67">
        <v>11</v>
      </c>
      <c r="K67">
        <v>11</v>
      </c>
      <c r="L67">
        <v>7</v>
      </c>
    </row>
    <row r="68" spans="2:12" x14ac:dyDescent="0.2">
      <c r="B68" s="16"/>
      <c r="C68" s="17"/>
      <c r="E68" s="16"/>
      <c r="F68" s="17"/>
      <c r="H68">
        <v>82</v>
      </c>
      <c r="I68">
        <v>55</v>
      </c>
      <c r="J68">
        <v>12</v>
      </c>
      <c r="K68">
        <v>11</v>
      </c>
      <c r="L68">
        <v>7</v>
      </c>
    </row>
    <row r="69" spans="2:12" x14ac:dyDescent="0.2">
      <c r="B69" s="16"/>
      <c r="C69" s="17"/>
      <c r="E69" s="16"/>
      <c r="F69" s="17"/>
    </row>
    <row r="70" spans="2:12" x14ac:dyDescent="0.2">
      <c r="B70" s="16"/>
      <c r="C70" s="17"/>
      <c r="E70" s="16"/>
      <c r="F70" s="17"/>
    </row>
    <row r="71" spans="2:12" x14ac:dyDescent="0.2">
      <c r="B71" s="16"/>
      <c r="C71" s="17"/>
      <c r="E71" s="16"/>
      <c r="F71" s="17"/>
    </row>
    <row r="72" spans="2:12" ht="17" thickBot="1" x14ac:dyDescent="0.25">
      <c r="B72" s="16"/>
      <c r="C72" s="17"/>
      <c r="E72" s="13"/>
      <c r="F72" s="15"/>
    </row>
    <row r="73" spans="2:12" x14ac:dyDescent="0.2">
      <c r="B73" s="16"/>
      <c r="C73" s="17"/>
      <c r="E73" s="7"/>
      <c r="F73" s="9"/>
    </row>
    <row r="74" spans="2:12" x14ac:dyDescent="0.2">
      <c r="B74" s="16"/>
      <c r="C74" s="17"/>
      <c r="E74" s="16"/>
      <c r="F74" s="17"/>
    </row>
    <row r="75" spans="2:12" x14ac:dyDescent="0.2">
      <c r="B75" s="16"/>
      <c r="C75" s="17"/>
      <c r="E75" s="16"/>
      <c r="F75" s="17"/>
    </row>
    <row r="76" spans="2:12" ht="17" thickBot="1" x14ac:dyDescent="0.25">
      <c r="B76" s="16"/>
      <c r="C76" s="17"/>
      <c r="E76" s="13"/>
      <c r="F76" s="15"/>
    </row>
    <row r="77" spans="2:12" x14ac:dyDescent="0.2">
      <c r="B77" s="16"/>
      <c r="C77" s="17"/>
      <c r="E77" s="7"/>
      <c r="F77" s="9"/>
    </row>
    <row r="78" spans="2:12" x14ac:dyDescent="0.2">
      <c r="B78" s="16"/>
      <c r="C78" s="17"/>
      <c r="E78" s="16"/>
      <c r="F78" s="17"/>
    </row>
    <row r="79" spans="2:12" x14ac:dyDescent="0.2">
      <c r="B79" s="16"/>
      <c r="C79" s="17"/>
      <c r="E79" s="16"/>
      <c r="F79" s="17"/>
    </row>
    <row r="80" spans="2:12" ht="17" thickBot="1" x14ac:dyDescent="0.25">
      <c r="B80" s="16"/>
      <c r="C80" s="17"/>
      <c r="E80" s="13"/>
      <c r="F80" s="15"/>
    </row>
    <row r="81" spans="2:6" x14ac:dyDescent="0.2">
      <c r="B81" s="16"/>
      <c r="C81" s="17"/>
      <c r="E81" s="7"/>
      <c r="F81" s="9"/>
    </row>
    <row r="82" spans="2:6" ht="17" thickBot="1" x14ac:dyDescent="0.25">
      <c r="B82" s="13"/>
      <c r="C82" s="15"/>
      <c r="E82" s="13"/>
      <c r="F82" s="15"/>
    </row>
  </sheetData>
  <mergeCells count="10">
    <mergeCell ref="B29:G29"/>
    <mergeCell ref="I29:N29"/>
    <mergeCell ref="I30:N33"/>
    <mergeCell ref="B30:G33"/>
    <mergeCell ref="B20:G23"/>
    <mergeCell ref="B24:G27"/>
    <mergeCell ref="B19:G19"/>
    <mergeCell ref="I19:N19"/>
    <mergeCell ref="I20:N23"/>
    <mergeCell ref="I24:N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2025-12-23T16:16:34Z</dcterms:created>
  <dcterms:modified xsi:type="dcterms:W3CDTF">2025-12-23T17:39:31Z</dcterms:modified>
</cp:coreProperties>
</file>