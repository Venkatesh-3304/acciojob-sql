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4/"/>
    </mc:Choice>
  </mc:AlternateContent>
  <xr:revisionPtr revIDLastSave="0" documentId="13_ncr:1_{E30A6C1D-07BF-BA47-872B-9EB29E583234}" xr6:coauthVersionLast="47" xr6:coauthVersionMax="47" xr10:uidLastSave="{00000000-0000-0000-0000-000000000000}"/>
  <bookViews>
    <workbookView xWindow="29400" yWindow="0" windowWidth="38400" windowHeight="21600" activeTab="2" xr2:uid="{7E126AC3-EF8F-094E-9A60-140EF2C03684}"/>
  </bookViews>
  <sheets>
    <sheet name="Recap" sheetId="1" r:id="rId1"/>
    <sheet name="Agenda" sheetId="2" r:id="rId2"/>
    <sheet name="lag_lea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Q7" i="3"/>
  <c r="Q8" i="3"/>
  <c r="Q9" i="3"/>
  <c r="Q10" i="3"/>
  <c r="Q11" i="3"/>
  <c r="Q12" i="3"/>
  <c r="Q13" i="3"/>
  <c r="Q14" i="3"/>
  <c r="Q15" i="3"/>
  <c r="Q16" i="3"/>
  <c r="Q6" i="3"/>
  <c r="J7" i="3"/>
  <c r="J8" i="3"/>
  <c r="J9" i="3"/>
  <c r="J10" i="3"/>
  <c r="J11" i="3"/>
  <c r="J12" i="3"/>
  <c r="J13" i="3"/>
  <c r="J14" i="3"/>
  <c r="J15" i="3"/>
  <c r="J16" i="3"/>
  <c r="J6" i="3"/>
</calcChain>
</file>

<file path=xl/sharedStrings.xml><?xml version="1.0" encoding="utf-8"?>
<sst xmlns="http://schemas.openxmlformats.org/spreadsheetml/2006/main" count="42" uniqueCount="38">
  <si>
    <t>🎯 WHAT WE'VE MASTERED IN 13 DAYS:</t>
  </si>
  <si>
    <r>
      <t xml:space="preserve">Day 1 (Foundation): </t>
    </r>
    <r>
      <rPr>
        <sz val="11"/>
        <color theme="1"/>
        <rFont val="Arial"/>
        <family val="2"/>
      </rPr>
      <t>Installed PostgreSQL 16 &amp; pgAdmin 4, understood SQL components (DDL, DML, DCL, TCL, DQL), learned database vs schema concepts, explored DBMS vs RDBMS architecture.</t>
    </r>
  </si>
  <si>
    <r>
      <t xml:space="preserve">Day 2 (Building Blocks): </t>
    </r>
    <r>
      <rPr>
        <sz val="11"/>
        <color theme="1"/>
        <rFont val="Arial"/>
        <family val="2"/>
      </rPr>
      <t>Created RetailMart database with 8 schemas, mastered DDL commands (CREATE DATABASE, CREATE SCHEMA, CREATE TABLE, DROP, ALTER), imported all CSV data.</t>
    </r>
  </si>
  <si>
    <r>
      <t xml:space="preserve">Day 3 (Data Types): </t>
    </r>
    <r>
      <rPr>
        <sz val="11"/>
        <color theme="1"/>
        <rFont val="Arial"/>
        <family val="2"/>
      </rPr>
      <t>Mastered PostgreSQL data types - Numeric (INT, DECIMAL, SERIAL), Text (CHAR, VARCHAR, TEXT), Date/Time (DATE, TIMESTAMP, INTERVAL), Boolean, Advanced (JSON, UUID, ARRAY).</t>
    </r>
  </si>
  <si>
    <r>
      <t xml:space="preserve">Day 4 (Data Integrity): </t>
    </r>
    <r>
      <rPr>
        <sz val="11"/>
        <color theme="1"/>
        <rFont val="Arial"/>
        <family val="2"/>
      </rPr>
      <t>Applied constraints (NOT NULL, UNIQUE, CHECK, DEFAULT), created PRIMARY KEY &amp; COMPOSITE PRIMARY KEY, implemented FOREIGN KEY with cascading actions (CASCADE, RESTRICT, SET NULL).</t>
    </r>
  </si>
  <si>
    <r>
      <t xml:space="preserve">Day 5 (Data Filtering): </t>
    </r>
    <r>
      <rPr>
        <sz val="11"/>
        <color theme="1"/>
        <rFont val="Arial"/>
        <family val="2"/>
      </rPr>
      <t>Mastered WHERE clause with logical operators (AND, OR, NOT), pattern matching (LIKE, ILIKE), BETWEEN, IN, IS NULL, DISTINCT, ORDER BY, LIMIT &amp; OFFSET.</t>
    </r>
  </si>
  <si>
    <r>
      <t xml:space="preserve">Day 6 (Aggregations): </t>
    </r>
    <r>
      <rPr>
        <sz val="11"/>
        <color theme="1"/>
        <rFont val="Arial"/>
        <family val="2"/>
      </rPr>
      <t>Learned aggregate functions (COUNT, SUM, AVG, MIN, MAX, STRING_AGG, ARRAY_AGG), GROUP BY for single and multiple columns, HAVING clause for filtering aggregated data.</t>
    </r>
  </si>
  <si>
    <r>
      <t xml:space="preserve">Day 7 (Conditional Logic): </t>
    </r>
    <r>
      <rPr>
        <sz val="11"/>
        <color theme="1"/>
        <rFont val="Arial"/>
        <family val="2"/>
      </rPr>
      <t>Implemented CASE WHEN (simple and searched), nested CASE statements, COALESCE for NULL handling, NULLIF to avoid division errors, created derived columns with aliases.</t>
    </r>
  </si>
  <si>
    <r>
      <t xml:space="preserve">Day 8 (Joins Part 1): </t>
    </r>
    <r>
      <rPr>
        <sz val="11"/>
        <color theme="1"/>
        <rFont val="Arial"/>
        <family val="2"/>
      </rPr>
      <t>Understood JOIN fundamentals, mastered INNER JOIN, LEFT JOIN, RIGHT JOIN, practiced multi-table joins with proper table aliases.</t>
    </r>
  </si>
  <si>
    <r>
      <t xml:space="preserve">Day 9 (Joins Part 2): </t>
    </r>
    <r>
      <rPr>
        <sz val="11"/>
        <color theme="1"/>
        <rFont val="Arial"/>
        <family val="2"/>
      </rPr>
      <t>Learned FULL OUTER JOIN, join order and performance implications, handling NULLs in joins, optimizing join performance with indexes, EXPLAIN plan analysis.</t>
    </r>
  </si>
  <si>
    <r>
      <t xml:space="preserve">Day 10 (Advanced Joins &amp; Sets): </t>
    </r>
    <r>
      <rPr>
        <sz val="11"/>
        <color theme="1"/>
        <rFont val="Arial"/>
        <family val="2"/>
      </rPr>
      <t>Mastered Self Join for hierarchical data (employee-manager), CROSS JOIN (Cartesian product), Set operations (UNION, UNION ALL, INTERSECT, EXCEPT).</t>
    </r>
  </si>
  <si>
    <r>
      <t xml:space="preserve">Day 11 (Subqueries Part 1): </t>
    </r>
    <r>
      <rPr>
        <sz val="11"/>
        <color theme="1"/>
        <rFont val="Arial"/>
        <family val="2"/>
      </rPr>
      <t>Introduced subqueries - scalar (single value), multi-row subqueries, subqueries in WHERE, SELECT, FROM clauses, IN/NOT IN operators, EXISTS/NOT EXISTS.</t>
    </r>
  </si>
  <si>
    <r>
      <t xml:space="preserve">Day 12 (Subqueries Part 2 &amp; CTEs): </t>
    </r>
    <r>
      <rPr>
        <sz val="11"/>
        <color theme="1"/>
        <rFont val="Arial"/>
        <family val="2"/>
      </rPr>
      <t>Mastered correlated subqueries, ANY/SOME/ALL operators, Common Table Expressions (CTEs) with WITH clause, multiple CTEs, Recursive CTEs for hierarchical queries.</t>
    </r>
  </si>
  <si>
    <r>
      <t xml:space="preserve">Day 13 (Window Functions Part 1): </t>
    </r>
    <r>
      <rPr>
        <sz val="11"/>
        <color theme="1"/>
        <rFont val="Arial"/>
        <family val="2"/>
      </rPr>
      <t>Unlocked window functions! Learned OVER clause, PARTITION BY for dividing data, ORDER BY in windows, ROW_NUMBER(), RANK(), DENSE_RANK() for ranking with and without gaps, Top N per category problems.</t>
    </r>
  </si>
  <si>
    <r>
      <t xml:space="preserve">🚀 TODAY (Day 14): </t>
    </r>
    <r>
      <rPr>
        <sz val="11"/>
        <color rgb="FF856404"/>
        <rFont val="Arial"/>
        <family val="2"/>
      </rPr>
      <t>We're taking window functions to the NEXT LEVEL! Time-series analysis, trend calculations, and percentile rankings - the crown jewels of SQL analytics!</t>
    </r>
  </si>
  <si>
    <r>
      <t xml:space="preserve">Part 1: </t>
    </r>
    <r>
      <rPr>
        <sz val="11"/>
        <color rgb="FF000000"/>
        <rFont val="Arial"/>
        <family val="2"/>
      </rPr>
      <t>LAG() &amp; LEAD() - Accessing Previous/Next Rows</t>
    </r>
  </si>
  <si>
    <r>
      <t xml:space="preserve">Part 2: </t>
    </r>
    <r>
      <rPr>
        <sz val="11"/>
        <color theme="1"/>
        <rFont val="Arial"/>
        <family val="2"/>
      </rPr>
      <t>FIRST_VALUE(), LAST_VALUE(), NTH_VALUE()</t>
    </r>
  </si>
  <si>
    <r>
      <t xml:space="preserve">Part 3: </t>
    </r>
    <r>
      <rPr>
        <sz val="11"/>
        <color rgb="FF000000"/>
        <rFont val="Arial"/>
        <family val="2"/>
      </rPr>
      <t>Running Totals &amp; Moving Averages (SUM/AVG OVER)</t>
    </r>
  </si>
  <si>
    <r>
      <t xml:space="preserve">Part 4: </t>
    </r>
    <r>
      <rPr>
        <sz val="11"/>
        <color theme="1"/>
        <rFont val="Arial"/>
        <family val="2"/>
      </rPr>
      <t>Window Frames (ROWS BETWEEN, RANGE BETWEEN)</t>
    </r>
  </si>
  <si>
    <r>
      <t xml:space="preserve">Part 5: </t>
    </r>
    <r>
      <rPr>
        <sz val="11"/>
        <color rgb="FF000000"/>
        <rFont val="Arial"/>
        <family val="2"/>
      </rPr>
      <t>Percentiles - NTILE() &amp; PERCENT_RANK()</t>
    </r>
  </si>
  <si>
    <t>Q&amp;A, Summary &amp; Day 15 Preview (Transactions)</t>
  </si>
  <si>
    <t>Orders</t>
  </si>
  <si>
    <t>order_id</t>
  </si>
  <si>
    <t>order_date</t>
  </si>
  <si>
    <t>total_amount</t>
  </si>
  <si>
    <t>order_month</t>
  </si>
  <si>
    <t>order_year</t>
  </si>
  <si>
    <t>new_col</t>
  </si>
  <si>
    <t>growth</t>
  </si>
  <si>
    <t>growth_withmew</t>
  </si>
  <si>
    <t>current_order</t>
  </si>
  <si>
    <t>previous_order</t>
  </si>
  <si>
    <t>Unbonded preceding</t>
  </si>
  <si>
    <t>Unbounded Following</t>
  </si>
  <si>
    <t>current_row</t>
  </si>
  <si>
    <t>from beginning</t>
  </si>
  <si>
    <t>till the end</t>
  </si>
  <si>
    <t>2 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</si>
</sst>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;@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1E3A5F"/>
      <name val="Arial"/>
      <family val="2"/>
    </font>
    <font>
      <b/>
      <sz val="11"/>
      <color rgb="FFE67E22"/>
      <name val="Arial"/>
      <family val="2"/>
    </font>
    <font>
      <b/>
      <sz val="11"/>
      <color rgb="FF856404"/>
      <name val="Arial"/>
      <family val="2"/>
    </font>
    <font>
      <sz val="11"/>
      <color rgb="FF856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9FC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Border="1"/>
    <xf numFmtId="170" fontId="0" fillId="0" borderId="0" xfId="0" applyNumberFormat="1"/>
    <xf numFmtId="1" fontId="0" fillId="0" borderId="0" xfId="0" applyNumberFormat="1"/>
    <xf numFmtId="9" fontId="0" fillId="0" borderId="0" xfId="1" applyFont="1"/>
    <xf numFmtId="1" fontId="0" fillId="3" borderId="0" xfId="0" applyNumberForma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920F-495D-424F-9C6F-590532EBC739}">
  <dimension ref="B2:B16"/>
  <sheetViews>
    <sheetView zoomScale="186" workbookViewId="0">
      <selection activeCell="A4" sqref="A4:XFD4"/>
    </sheetView>
  </sheetViews>
  <sheetFormatPr baseColWidth="10" defaultRowHeight="16" x14ac:dyDescent="0.2"/>
  <sheetData>
    <row r="2" spans="2:2" x14ac:dyDescent="0.2">
      <c r="B2" s="1" t="s">
        <v>0</v>
      </c>
    </row>
    <row r="3" spans="2:2" x14ac:dyDescent="0.2">
      <c r="B3" s="2" t="s">
        <v>1</v>
      </c>
    </row>
    <row r="4" spans="2:2" x14ac:dyDescent="0.2">
      <c r="B4" s="2" t="s">
        <v>2</v>
      </c>
    </row>
    <row r="5" spans="2:2" x14ac:dyDescent="0.2">
      <c r="B5" s="2" t="s">
        <v>3</v>
      </c>
    </row>
    <row r="6" spans="2:2" x14ac:dyDescent="0.2">
      <c r="B6" s="2" t="s">
        <v>4</v>
      </c>
    </row>
    <row r="7" spans="2:2" x14ac:dyDescent="0.2">
      <c r="B7" s="2" t="s">
        <v>5</v>
      </c>
    </row>
    <row r="8" spans="2:2" x14ac:dyDescent="0.2">
      <c r="B8" s="2" t="s">
        <v>6</v>
      </c>
    </row>
    <row r="9" spans="2:2" x14ac:dyDescent="0.2">
      <c r="B9" s="2" t="s">
        <v>7</v>
      </c>
    </row>
    <row r="10" spans="2:2" x14ac:dyDescent="0.2">
      <c r="B10" s="2" t="s">
        <v>8</v>
      </c>
    </row>
    <row r="11" spans="2:2" x14ac:dyDescent="0.2">
      <c r="B11" s="2" t="s">
        <v>9</v>
      </c>
    </row>
    <row r="12" spans="2:2" x14ac:dyDescent="0.2">
      <c r="B12" s="2" t="s">
        <v>10</v>
      </c>
    </row>
    <row r="13" spans="2:2" x14ac:dyDescent="0.2">
      <c r="B13" s="2" t="s">
        <v>11</v>
      </c>
    </row>
    <row r="14" spans="2:2" x14ac:dyDescent="0.2">
      <c r="B14" s="2" t="s">
        <v>12</v>
      </c>
    </row>
    <row r="15" spans="2:2" x14ac:dyDescent="0.2">
      <c r="B15" s="2" t="s">
        <v>13</v>
      </c>
    </row>
    <row r="16" spans="2:2" x14ac:dyDescent="0.2">
      <c r="B16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E88D-3953-4148-A9AE-2F32EE635CE8}">
  <dimension ref="B1:B7"/>
  <sheetViews>
    <sheetView zoomScale="229" workbookViewId="0">
      <selection activeCell="B15" sqref="B15"/>
    </sheetView>
  </sheetViews>
  <sheetFormatPr baseColWidth="10" defaultRowHeight="16" x14ac:dyDescent="0.2"/>
  <cols>
    <col min="1" max="1" width="4" customWidth="1"/>
    <col min="2" max="2" width="55.5" bestFit="1" customWidth="1"/>
  </cols>
  <sheetData>
    <row r="1" spans="2:2" ht="17" thickBot="1" x14ac:dyDescent="0.25"/>
    <row r="2" spans="2:2" ht="17" thickBot="1" x14ac:dyDescent="0.25">
      <c r="B2" s="4" t="s">
        <v>15</v>
      </c>
    </row>
    <row r="3" spans="2:2" ht="17" thickBot="1" x14ac:dyDescent="0.25">
      <c r="B3" s="5" t="s">
        <v>16</v>
      </c>
    </row>
    <row r="4" spans="2:2" ht="17" thickBot="1" x14ac:dyDescent="0.25">
      <c r="B4" s="6" t="s">
        <v>17</v>
      </c>
    </row>
    <row r="5" spans="2:2" ht="17" thickBot="1" x14ac:dyDescent="0.25">
      <c r="B5" s="5" t="s">
        <v>18</v>
      </c>
    </row>
    <row r="6" spans="2:2" ht="17" thickBot="1" x14ac:dyDescent="0.25">
      <c r="B6" s="6" t="s">
        <v>19</v>
      </c>
    </row>
    <row r="7" spans="2:2" ht="17" thickBot="1" x14ac:dyDescent="0.25">
      <c r="B7" s="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D7A7-897D-2846-96B8-8D8A4CF344F4}">
  <dimension ref="B2:T54"/>
  <sheetViews>
    <sheetView tabSelected="1" topLeftCell="C20" zoomScale="178" workbookViewId="0">
      <selection activeCell="K37" sqref="K37"/>
    </sheetView>
  </sheetViews>
  <sheetFormatPr baseColWidth="10" defaultRowHeight="16" x14ac:dyDescent="0.2"/>
  <cols>
    <col min="3" max="3" width="10.5" bestFit="1" customWidth="1"/>
    <col min="4" max="4" width="12" bestFit="1" customWidth="1"/>
    <col min="5" max="5" width="12" customWidth="1"/>
    <col min="7" max="7" width="11.5" bestFit="1" customWidth="1"/>
    <col min="8" max="8" width="12" bestFit="1" customWidth="1"/>
    <col min="9" max="9" width="12" customWidth="1"/>
    <col min="10" max="10" width="17.83203125" bestFit="1" customWidth="1"/>
    <col min="11" max="16" width="17.83203125" customWidth="1"/>
    <col min="17" max="17" width="14.83203125" bestFit="1" customWidth="1"/>
  </cols>
  <sheetData>
    <row r="2" spans="2:17" x14ac:dyDescent="0.2">
      <c r="B2" t="s">
        <v>21</v>
      </c>
    </row>
    <row r="4" spans="2:17" x14ac:dyDescent="0.2">
      <c r="B4" t="s">
        <v>22</v>
      </c>
      <c r="C4" t="s">
        <v>23</v>
      </c>
      <c r="D4" t="s">
        <v>24</v>
      </c>
      <c r="F4" t="s">
        <v>26</v>
      </c>
      <c r="G4" t="s">
        <v>25</v>
      </c>
      <c r="H4" t="s">
        <v>24</v>
      </c>
      <c r="I4" t="s">
        <v>27</v>
      </c>
      <c r="J4" t="s">
        <v>28</v>
      </c>
      <c r="Q4" t="s">
        <v>29</v>
      </c>
    </row>
    <row r="5" spans="2:17" x14ac:dyDescent="0.2">
      <c r="B5">
        <v>1</v>
      </c>
      <c r="C5" s="9">
        <v>45745</v>
      </c>
      <c r="D5">
        <v>283034.46999999997</v>
      </c>
      <c r="F5">
        <v>2024</v>
      </c>
      <c r="G5">
        <v>1</v>
      </c>
      <c r="H5" s="12">
        <v>283034.46999999997</v>
      </c>
      <c r="I5" s="10"/>
    </row>
    <row r="6" spans="2:17" x14ac:dyDescent="0.2">
      <c r="B6">
        <v>2</v>
      </c>
      <c r="C6" s="9">
        <v>45309</v>
      </c>
      <c r="D6">
        <v>58947.5</v>
      </c>
      <c r="F6">
        <v>2024</v>
      </c>
      <c r="G6">
        <v>2</v>
      </c>
      <c r="H6" s="12">
        <v>58947.5</v>
      </c>
      <c r="I6" s="12">
        <v>283034.46999999997</v>
      </c>
      <c r="J6" s="11">
        <f>(H6-H5)/H6</f>
        <v>-3.8014668985113866</v>
      </c>
      <c r="K6" s="11"/>
      <c r="L6" s="11"/>
      <c r="M6" s="11"/>
      <c r="N6" s="11"/>
      <c r="O6" s="11"/>
      <c r="P6" s="11"/>
      <c r="Q6" s="11">
        <f>(H6-I6)/H6</f>
        <v>-3.8014668985113866</v>
      </c>
    </row>
    <row r="7" spans="2:17" x14ac:dyDescent="0.2">
      <c r="B7">
        <v>3</v>
      </c>
      <c r="C7" s="9">
        <v>45367</v>
      </c>
      <c r="D7">
        <v>397896.8</v>
      </c>
      <c r="F7">
        <v>2024</v>
      </c>
      <c r="G7">
        <v>3</v>
      </c>
      <c r="H7" s="12">
        <v>397896.8</v>
      </c>
      <c r="I7" s="12">
        <v>58947.5</v>
      </c>
      <c r="J7" s="11">
        <f t="shared" ref="J7:J16" si="0">(H7-H6)/H7</f>
        <v>0.8518522893373357</v>
      </c>
      <c r="K7" s="11"/>
      <c r="L7" s="11"/>
      <c r="M7" s="11"/>
      <c r="N7" s="11"/>
      <c r="O7" s="11"/>
      <c r="P7" s="11"/>
      <c r="Q7" s="11">
        <f t="shared" ref="Q7:Q16" si="1">(H7-I7)/H7</f>
        <v>0.8518522893373357</v>
      </c>
    </row>
    <row r="8" spans="2:17" x14ac:dyDescent="0.2">
      <c r="B8">
        <v>4</v>
      </c>
      <c r="C8" s="9">
        <v>45728</v>
      </c>
      <c r="D8">
        <v>232404.8</v>
      </c>
      <c r="F8">
        <v>2024</v>
      </c>
      <c r="G8">
        <v>4</v>
      </c>
      <c r="H8" s="12">
        <v>232404.8</v>
      </c>
      <c r="I8" s="12">
        <v>397896.8</v>
      </c>
      <c r="J8" s="11">
        <f t="shared" si="0"/>
        <v>-0.71208512044501671</v>
      </c>
      <c r="K8" s="11"/>
      <c r="L8" s="11"/>
      <c r="M8" s="11"/>
      <c r="N8" s="11"/>
      <c r="O8" s="11"/>
      <c r="P8" s="11"/>
      <c r="Q8" s="11">
        <f t="shared" si="1"/>
        <v>-0.71208512044501671</v>
      </c>
    </row>
    <row r="9" spans="2:17" x14ac:dyDescent="0.2">
      <c r="B9">
        <v>5</v>
      </c>
      <c r="C9" s="9">
        <v>45358</v>
      </c>
      <c r="D9">
        <v>217182.38</v>
      </c>
      <c r="F9">
        <v>2024</v>
      </c>
      <c r="G9">
        <v>5</v>
      </c>
      <c r="H9" s="12">
        <v>217182.38</v>
      </c>
      <c r="I9" s="12">
        <v>232404.8</v>
      </c>
      <c r="J9" s="11">
        <f t="shared" si="0"/>
        <v>-7.009049260810192E-2</v>
      </c>
      <c r="K9" s="11"/>
      <c r="L9" s="11"/>
      <c r="M9" s="11"/>
      <c r="N9" s="11"/>
      <c r="O9" s="11"/>
      <c r="P9" s="11"/>
      <c r="Q9" s="11">
        <f t="shared" si="1"/>
        <v>-7.009049260810192E-2</v>
      </c>
    </row>
    <row r="10" spans="2:17" x14ac:dyDescent="0.2">
      <c r="B10">
        <v>6</v>
      </c>
      <c r="C10" s="9">
        <v>45320</v>
      </c>
      <c r="D10">
        <v>331497.73</v>
      </c>
      <c r="F10">
        <v>2024</v>
      </c>
      <c r="G10">
        <v>6</v>
      </c>
      <c r="H10" s="12">
        <v>331497.73</v>
      </c>
      <c r="I10" s="12">
        <v>217182.38</v>
      </c>
      <c r="J10" s="11">
        <f t="shared" si="0"/>
        <v>0.34484504614858141</v>
      </c>
      <c r="K10" s="11"/>
      <c r="L10" s="11"/>
      <c r="M10" s="11"/>
      <c r="N10" s="11"/>
      <c r="O10" s="11"/>
      <c r="P10" s="11"/>
      <c r="Q10" s="11">
        <f t="shared" si="1"/>
        <v>0.34484504614858141</v>
      </c>
    </row>
    <row r="11" spans="2:17" x14ac:dyDescent="0.2">
      <c r="B11">
        <v>7</v>
      </c>
      <c r="C11" s="9">
        <v>45370</v>
      </c>
      <c r="D11">
        <v>142672</v>
      </c>
      <c r="F11">
        <v>2024</v>
      </c>
      <c r="G11">
        <v>7</v>
      </c>
      <c r="H11" s="12">
        <v>142672</v>
      </c>
      <c r="I11" s="12">
        <v>331497.73</v>
      </c>
      <c r="J11" s="11">
        <f t="shared" si="0"/>
        <v>-1.3234953599865424</v>
      </c>
      <c r="K11" s="11"/>
      <c r="L11" s="11"/>
      <c r="M11" s="11"/>
      <c r="N11" s="11"/>
      <c r="O11" s="11"/>
      <c r="P11" s="11"/>
      <c r="Q11" s="11">
        <f t="shared" si="1"/>
        <v>-1.3234953599865424</v>
      </c>
    </row>
    <row r="12" spans="2:17" x14ac:dyDescent="0.2">
      <c r="B12">
        <v>8</v>
      </c>
      <c r="C12" s="9">
        <v>45832</v>
      </c>
      <c r="D12">
        <v>28793.599999999999</v>
      </c>
      <c r="F12">
        <v>2024</v>
      </c>
      <c r="G12">
        <v>8</v>
      </c>
      <c r="H12" s="12">
        <v>28793.599999999999</v>
      </c>
      <c r="I12" s="12">
        <v>142672</v>
      </c>
      <c r="J12" s="11">
        <f t="shared" si="0"/>
        <v>-3.9549899977772838</v>
      </c>
      <c r="K12" s="11"/>
      <c r="L12" s="11"/>
      <c r="M12" s="11"/>
      <c r="N12" s="11"/>
      <c r="O12" s="11"/>
      <c r="P12" s="11"/>
      <c r="Q12" s="11">
        <f t="shared" si="1"/>
        <v>-3.9549899977772838</v>
      </c>
    </row>
    <row r="13" spans="2:17" x14ac:dyDescent="0.2">
      <c r="B13">
        <v>9</v>
      </c>
      <c r="C13" s="9">
        <v>45393</v>
      </c>
      <c r="D13">
        <v>464940.25</v>
      </c>
      <c r="F13">
        <v>2024</v>
      </c>
      <c r="G13">
        <v>9</v>
      </c>
      <c r="H13" s="12">
        <v>464940.25</v>
      </c>
      <c r="I13" s="12">
        <v>28793.599999999999</v>
      </c>
      <c r="J13" s="11">
        <f t="shared" si="0"/>
        <v>0.93807032193921702</v>
      </c>
      <c r="K13" s="11"/>
      <c r="L13" s="11"/>
      <c r="M13" s="11"/>
      <c r="N13" s="11"/>
      <c r="O13" s="11"/>
      <c r="P13" s="11"/>
      <c r="Q13" s="11">
        <f t="shared" si="1"/>
        <v>0.93807032193921702</v>
      </c>
    </row>
    <row r="14" spans="2:17" x14ac:dyDescent="0.2">
      <c r="B14">
        <v>10</v>
      </c>
      <c r="C14" s="9">
        <v>45622</v>
      </c>
      <c r="D14">
        <v>339933.6</v>
      </c>
      <c r="F14">
        <v>2024</v>
      </c>
      <c r="G14">
        <v>10</v>
      </c>
      <c r="H14" s="12">
        <v>339933.6</v>
      </c>
      <c r="I14" s="12">
        <v>464940.25</v>
      </c>
      <c r="J14" s="11">
        <f t="shared" si="0"/>
        <v>-0.36773843480020812</v>
      </c>
      <c r="K14" s="11"/>
      <c r="L14" s="11"/>
      <c r="M14" s="11"/>
      <c r="N14" s="11"/>
      <c r="O14" s="11"/>
      <c r="P14" s="11"/>
      <c r="Q14" s="11">
        <f t="shared" si="1"/>
        <v>-0.36773843480020812</v>
      </c>
    </row>
    <row r="15" spans="2:17" x14ac:dyDescent="0.2">
      <c r="B15">
        <v>11</v>
      </c>
      <c r="C15" s="9">
        <v>45862</v>
      </c>
      <c r="D15">
        <v>168226.7</v>
      </c>
      <c r="F15">
        <v>2024</v>
      </c>
      <c r="G15">
        <v>11</v>
      </c>
      <c r="H15" s="12">
        <v>168226.7</v>
      </c>
      <c r="I15" s="12">
        <v>339933.6</v>
      </c>
      <c r="J15" s="11">
        <f t="shared" si="0"/>
        <v>-1.0206875602980974</v>
      </c>
      <c r="K15" s="11"/>
      <c r="L15" s="11"/>
      <c r="M15" s="11"/>
      <c r="N15" s="11"/>
      <c r="O15" s="11"/>
      <c r="P15" s="11"/>
      <c r="Q15" s="11">
        <f t="shared" si="1"/>
        <v>-1.0206875602980974</v>
      </c>
    </row>
    <row r="16" spans="2:17" x14ac:dyDescent="0.2">
      <c r="B16">
        <v>12</v>
      </c>
      <c r="C16" s="9">
        <v>45825</v>
      </c>
      <c r="D16">
        <v>756723.97</v>
      </c>
      <c r="F16">
        <v>2024</v>
      </c>
      <c r="G16">
        <v>12</v>
      </c>
      <c r="H16" s="12">
        <v>756723.97</v>
      </c>
      <c r="I16" s="12">
        <v>168226.7</v>
      </c>
      <c r="J16" s="11">
        <f t="shared" si="0"/>
        <v>0.77769080051739348</v>
      </c>
      <c r="K16" s="11"/>
      <c r="L16" s="11"/>
      <c r="M16" s="11"/>
      <c r="N16" s="11"/>
      <c r="O16" s="11"/>
      <c r="P16" s="11"/>
      <c r="Q16" s="11">
        <f t="shared" si="1"/>
        <v>0.77769080051739348</v>
      </c>
    </row>
    <row r="17" spans="2:20" x14ac:dyDescent="0.2">
      <c r="B17">
        <v>13</v>
      </c>
      <c r="C17" s="9">
        <v>45507</v>
      </c>
      <c r="D17">
        <v>458886.7</v>
      </c>
      <c r="I17" s="10"/>
    </row>
    <row r="18" spans="2:20" x14ac:dyDescent="0.2">
      <c r="B18">
        <v>14</v>
      </c>
      <c r="C18" s="9">
        <v>45718</v>
      </c>
      <c r="D18">
        <v>584281.44999999995</v>
      </c>
    </row>
    <row r="19" spans="2:20" x14ac:dyDescent="0.2">
      <c r="B19">
        <v>15</v>
      </c>
      <c r="C19" s="9">
        <v>45399</v>
      </c>
      <c r="D19">
        <v>90363.05</v>
      </c>
    </row>
    <row r="20" spans="2:20" x14ac:dyDescent="0.2">
      <c r="B20">
        <v>16</v>
      </c>
      <c r="C20" s="9">
        <v>45414</v>
      </c>
      <c r="D20">
        <v>339030</v>
      </c>
      <c r="G20" t="s">
        <v>30</v>
      </c>
      <c r="H20" t="s">
        <v>31</v>
      </c>
    </row>
    <row r="21" spans="2:20" x14ac:dyDescent="0.2">
      <c r="B21">
        <v>17</v>
      </c>
      <c r="C21" s="9">
        <v>45833</v>
      </c>
      <c r="D21">
        <v>367245.4</v>
      </c>
      <c r="G21">
        <v>128147.12</v>
      </c>
      <c r="H21">
        <v>517104</v>
      </c>
      <c r="I21">
        <f>G21-H21</f>
        <v>-388956.88</v>
      </c>
    </row>
    <row r="22" spans="2:20" ht="17" thickBot="1" x14ac:dyDescent="0.25">
      <c r="B22">
        <v>18</v>
      </c>
      <c r="C22" s="9">
        <v>45692</v>
      </c>
      <c r="D22">
        <v>791396.55</v>
      </c>
      <c r="L22" t="s">
        <v>37</v>
      </c>
    </row>
    <row r="23" spans="2:20" x14ac:dyDescent="0.2">
      <c r="B23">
        <v>19</v>
      </c>
      <c r="C23" s="9">
        <v>45744</v>
      </c>
      <c r="D23">
        <v>91758.6</v>
      </c>
      <c r="F23" s="13"/>
      <c r="G23" s="14"/>
      <c r="H23" s="14"/>
      <c r="I23" s="15"/>
      <c r="J23" t="s">
        <v>32</v>
      </c>
      <c r="K23" t="s">
        <v>35</v>
      </c>
      <c r="L23" s="21" t="s">
        <v>35</v>
      </c>
      <c r="M23">
        <v>1</v>
      </c>
      <c r="Q23" s="21" t="s">
        <v>34</v>
      </c>
      <c r="R23" s="21"/>
      <c r="S23" s="21"/>
      <c r="T23" s="21"/>
    </row>
    <row r="24" spans="2:20" x14ac:dyDescent="0.2">
      <c r="B24">
        <v>20</v>
      </c>
      <c r="C24" s="9">
        <v>45725</v>
      </c>
      <c r="D24">
        <v>17345.95</v>
      </c>
      <c r="F24" s="16"/>
      <c r="G24" s="8"/>
      <c r="H24" s="8"/>
      <c r="I24" s="17"/>
      <c r="L24" s="21"/>
      <c r="M24">
        <v>2</v>
      </c>
      <c r="R24" s="21"/>
      <c r="S24" s="21"/>
      <c r="T24" s="21"/>
    </row>
    <row r="25" spans="2:20" x14ac:dyDescent="0.2">
      <c r="B25">
        <v>21</v>
      </c>
      <c r="C25" s="9">
        <v>45778</v>
      </c>
      <c r="D25">
        <v>413281</v>
      </c>
      <c r="F25" s="16"/>
      <c r="G25" s="8"/>
      <c r="H25" s="8"/>
      <c r="I25" s="17"/>
      <c r="L25" s="21"/>
      <c r="M25">
        <v>3</v>
      </c>
      <c r="S25" s="21"/>
      <c r="T25" s="21"/>
    </row>
    <row r="26" spans="2:20" x14ac:dyDescent="0.2">
      <c r="B26">
        <v>22</v>
      </c>
      <c r="C26" s="9">
        <v>45462</v>
      </c>
      <c r="D26">
        <v>578352.1</v>
      </c>
      <c r="F26" s="16"/>
      <c r="G26" s="8"/>
      <c r="H26" s="8"/>
      <c r="I26" s="17"/>
      <c r="T26" s="21"/>
    </row>
    <row r="27" spans="2:20" x14ac:dyDescent="0.2">
      <c r="B27">
        <v>23</v>
      </c>
      <c r="C27" s="9">
        <v>45919</v>
      </c>
      <c r="D27">
        <v>69656</v>
      </c>
      <c r="F27" s="16"/>
      <c r="G27" s="8"/>
      <c r="H27" s="8"/>
      <c r="I27" s="17"/>
    </row>
    <row r="28" spans="2:20" x14ac:dyDescent="0.2">
      <c r="B28">
        <v>24</v>
      </c>
      <c r="C28" s="9">
        <v>45750</v>
      </c>
      <c r="D28">
        <v>25120.799999999999</v>
      </c>
      <c r="F28" s="16"/>
      <c r="G28" s="8"/>
      <c r="H28" s="8"/>
      <c r="I28" s="17"/>
    </row>
    <row r="29" spans="2:20" x14ac:dyDescent="0.2">
      <c r="B29">
        <v>25</v>
      </c>
      <c r="C29" s="9">
        <v>45334</v>
      </c>
      <c r="D29">
        <v>243247.5</v>
      </c>
      <c r="F29" s="16"/>
      <c r="G29" s="8"/>
      <c r="H29" s="8"/>
      <c r="I29" s="17"/>
    </row>
    <row r="30" spans="2:20" x14ac:dyDescent="0.2">
      <c r="B30">
        <v>26</v>
      </c>
      <c r="C30" s="9">
        <v>45854</v>
      </c>
      <c r="D30">
        <v>613805.78</v>
      </c>
      <c r="F30" s="16"/>
      <c r="G30" s="8"/>
      <c r="H30" s="8"/>
      <c r="I30" s="17"/>
    </row>
    <row r="31" spans="2:20" x14ac:dyDescent="0.2">
      <c r="B31">
        <v>27</v>
      </c>
      <c r="C31" s="9">
        <v>45729</v>
      </c>
      <c r="D31">
        <v>207924.45</v>
      </c>
      <c r="F31" s="16"/>
      <c r="G31" s="8"/>
      <c r="H31" s="8"/>
      <c r="I31" s="17"/>
    </row>
    <row r="32" spans="2:20" ht="17" thickBot="1" x14ac:dyDescent="0.25">
      <c r="B32">
        <v>28</v>
      </c>
      <c r="C32" s="9">
        <v>45537</v>
      </c>
      <c r="D32">
        <v>624258.19999999995</v>
      </c>
      <c r="F32" s="18"/>
      <c r="G32" s="19"/>
      <c r="H32" s="19"/>
      <c r="I32" s="20"/>
      <c r="J32" t="s">
        <v>33</v>
      </c>
      <c r="K32" t="s">
        <v>36</v>
      </c>
    </row>
    <row r="33" spans="2:10" x14ac:dyDescent="0.2">
      <c r="B33">
        <v>29</v>
      </c>
      <c r="C33" s="9">
        <v>45489</v>
      </c>
      <c r="D33">
        <v>280369</v>
      </c>
      <c r="F33" s="13"/>
      <c r="G33" s="14"/>
      <c r="H33" s="14"/>
      <c r="I33" s="15"/>
      <c r="J33" t="s">
        <v>32</v>
      </c>
    </row>
    <row r="34" spans="2:10" x14ac:dyDescent="0.2">
      <c r="B34">
        <v>30</v>
      </c>
      <c r="C34" s="9">
        <v>45667</v>
      </c>
      <c r="D34">
        <v>583211.80000000005</v>
      </c>
      <c r="F34" s="16"/>
      <c r="G34" s="8"/>
      <c r="H34" s="8"/>
      <c r="I34" s="17"/>
    </row>
    <row r="35" spans="2:10" x14ac:dyDescent="0.2">
      <c r="B35">
        <v>31</v>
      </c>
      <c r="C35" s="9">
        <v>45869</v>
      </c>
      <c r="D35">
        <v>13002.45</v>
      </c>
      <c r="F35" s="16"/>
      <c r="G35" s="8"/>
      <c r="H35" s="8"/>
      <c r="I35" s="17"/>
    </row>
    <row r="36" spans="2:10" x14ac:dyDescent="0.2">
      <c r="B36">
        <v>32</v>
      </c>
      <c r="C36" s="9">
        <v>45840</v>
      </c>
      <c r="D36">
        <v>220573.85</v>
      </c>
      <c r="F36" s="16"/>
      <c r="G36" s="8"/>
      <c r="H36" s="8"/>
      <c r="I36" s="17"/>
    </row>
    <row r="37" spans="2:10" x14ac:dyDescent="0.2">
      <c r="B37">
        <v>33</v>
      </c>
      <c r="C37" s="9">
        <v>45597</v>
      </c>
      <c r="D37">
        <v>925751.57</v>
      </c>
      <c r="F37" s="16"/>
      <c r="G37" s="8"/>
      <c r="H37" s="8"/>
      <c r="I37" s="17"/>
    </row>
    <row r="38" spans="2:10" x14ac:dyDescent="0.2">
      <c r="B38">
        <v>34</v>
      </c>
      <c r="C38" s="9">
        <v>45841</v>
      </c>
      <c r="D38">
        <v>256511.4</v>
      </c>
      <c r="F38" s="16"/>
      <c r="G38" s="8"/>
      <c r="H38" s="8"/>
      <c r="I38" s="17"/>
    </row>
    <row r="39" spans="2:10" x14ac:dyDescent="0.2">
      <c r="B39">
        <v>35</v>
      </c>
      <c r="C39" s="9">
        <v>45353</v>
      </c>
      <c r="D39">
        <v>119742.3</v>
      </c>
      <c r="F39" s="16"/>
      <c r="G39" s="8"/>
      <c r="H39" s="8"/>
      <c r="I39" s="17"/>
    </row>
    <row r="40" spans="2:10" x14ac:dyDescent="0.2">
      <c r="B40">
        <v>36</v>
      </c>
      <c r="C40" s="9">
        <v>45582</v>
      </c>
      <c r="D40">
        <v>863979.12</v>
      </c>
      <c r="F40" s="16"/>
      <c r="G40" s="8"/>
      <c r="H40" s="8"/>
      <c r="I40" s="17"/>
    </row>
    <row r="41" spans="2:10" ht="17" thickBot="1" x14ac:dyDescent="0.25">
      <c r="B41">
        <v>37</v>
      </c>
      <c r="C41" s="9">
        <v>45432</v>
      </c>
      <c r="D41">
        <v>58776.5</v>
      </c>
      <c r="F41" s="18"/>
      <c r="G41" s="19"/>
      <c r="H41" s="19"/>
      <c r="I41" s="20"/>
      <c r="J41" t="s">
        <v>33</v>
      </c>
    </row>
    <row r="42" spans="2:10" x14ac:dyDescent="0.2">
      <c r="B42">
        <v>38</v>
      </c>
      <c r="C42" s="9">
        <v>45764</v>
      </c>
      <c r="D42">
        <v>51478.400000000001</v>
      </c>
      <c r="F42" s="16"/>
      <c r="G42" s="8"/>
      <c r="H42" s="8"/>
      <c r="I42" s="17"/>
    </row>
    <row r="43" spans="2:10" x14ac:dyDescent="0.2">
      <c r="B43">
        <v>39</v>
      </c>
      <c r="C43" s="9">
        <v>45717</v>
      </c>
      <c r="D43">
        <v>191802.9</v>
      </c>
      <c r="F43" s="16"/>
      <c r="G43" s="8"/>
      <c r="H43" s="8"/>
      <c r="I43" s="17"/>
    </row>
    <row r="44" spans="2:10" ht="17" thickBot="1" x14ac:dyDescent="0.25">
      <c r="B44">
        <v>40</v>
      </c>
      <c r="C44" s="9">
        <v>45604</v>
      </c>
      <c r="D44">
        <v>139936</v>
      </c>
      <c r="F44" s="18"/>
      <c r="G44" s="19"/>
      <c r="H44" s="19"/>
      <c r="I44" s="20"/>
    </row>
    <row r="45" spans="2:10" x14ac:dyDescent="0.2">
      <c r="B45">
        <v>41</v>
      </c>
      <c r="C45" s="9">
        <v>45721</v>
      </c>
      <c r="D45">
        <v>132389.20000000001</v>
      </c>
    </row>
    <row r="46" spans="2:10" x14ac:dyDescent="0.2">
      <c r="B46">
        <v>42</v>
      </c>
      <c r="C46" s="9">
        <v>45757</v>
      </c>
      <c r="D46">
        <v>275755.12</v>
      </c>
    </row>
    <row r="47" spans="2:10" x14ac:dyDescent="0.2">
      <c r="B47">
        <v>43</v>
      </c>
      <c r="C47" s="9">
        <v>45405</v>
      </c>
      <c r="D47">
        <v>415990.75</v>
      </c>
    </row>
    <row r="48" spans="2:10" x14ac:dyDescent="0.2">
      <c r="B48">
        <v>44</v>
      </c>
      <c r="C48" s="9">
        <v>45507</v>
      </c>
      <c r="D48">
        <v>647098.94999999995</v>
      </c>
    </row>
    <row r="49" spans="2:4" x14ac:dyDescent="0.2">
      <c r="B49">
        <v>45</v>
      </c>
      <c r="C49" s="9">
        <v>45348</v>
      </c>
      <c r="D49">
        <v>777643.1</v>
      </c>
    </row>
    <row r="50" spans="2:4" x14ac:dyDescent="0.2">
      <c r="B50">
        <v>46</v>
      </c>
      <c r="C50" s="9">
        <v>45437</v>
      </c>
      <c r="D50">
        <v>114950</v>
      </c>
    </row>
    <row r="51" spans="2:4" x14ac:dyDescent="0.2">
      <c r="B51">
        <v>47</v>
      </c>
      <c r="C51" s="9">
        <v>45613</v>
      </c>
      <c r="D51">
        <v>147938.20000000001</v>
      </c>
    </row>
    <row r="52" spans="2:4" x14ac:dyDescent="0.2">
      <c r="B52">
        <v>48</v>
      </c>
      <c r="C52" s="9">
        <v>45293</v>
      </c>
      <c r="D52">
        <v>112226.38</v>
      </c>
    </row>
    <row r="53" spans="2:4" x14ac:dyDescent="0.2">
      <c r="B53">
        <v>49</v>
      </c>
      <c r="C53" s="9">
        <v>45410</v>
      </c>
      <c r="D53">
        <v>353434.8</v>
      </c>
    </row>
    <row r="54" spans="2:4" x14ac:dyDescent="0.2">
      <c r="B54">
        <v>50</v>
      </c>
      <c r="C54" s="9">
        <v>45303</v>
      </c>
      <c r="D54">
        <v>444530.12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lag_lead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2025-12-25T14:35:31Z</dcterms:created>
  <dcterms:modified xsi:type="dcterms:W3CDTF">2025-12-25T16:34:31Z</dcterms:modified>
</cp:coreProperties>
</file>